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d2f9719ed1878a/tese/submissao ocde/"/>
    </mc:Choice>
  </mc:AlternateContent>
  <xr:revisionPtr revIDLastSave="4240" documentId="8_{4B960569-DBE3-4305-B91E-9331CD81AD2D}" xr6:coauthVersionLast="47" xr6:coauthVersionMax="47" xr10:uidLastSave="{D53423E5-5272-4ED1-AF61-13DE274E4EB0}"/>
  <bookViews>
    <workbookView xWindow="-120" yWindow="-120" windowWidth="20730" windowHeight="11040" xr2:uid="{6F115AB0-7233-41FD-8773-DA78AC448D8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2" i="1" l="1"/>
  <c r="V2" i="1"/>
  <c r="Q5" i="1"/>
  <c r="Q3" i="1"/>
  <c r="Q4" i="1"/>
  <c r="Q6" i="1"/>
  <c r="T6" i="1" s="1"/>
  <c r="Q7" i="1"/>
  <c r="Q8" i="1"/>
  <c r="T8" i="1" s="1"/>
  <c r="Q9" i="1"/>
  <c r="T9" i="1" s="1"/>
  <c r="Q10" i="1"/>
  <c r="Q11" i="1"/>
  <c r="Q12" i="1"/>
  <c r="Q13" i="1"/>
  <c r="Q14" i="1"/>
  <c r="T14" i="1" s="1"/>
  <c r="Q15" i="1"/>
  <c r="Q16" i="1"/>
  <c r="T16" i="1" s="1"/>
  <c r="Q17" i="1"/>
  <c r="Q18" i="1"/>
  <c r="Q19" i="1"/>
  <c r="Q20" i="1"/>
  <c r="Q21" i="1"/>
  <c r="Q22" i="1"/>
  <c r="T22" i="1" s="1"/>
  <c r="Q23" i="1"/>
  <c r="Q24" i="1"/>
  <c r="Q25" i="1"/>
  <c r="Q26" i="1"/>
  <c r="Q27" i="1"/>
  <c r="Q28" i="1"/>
  <c r="Q29" i="1"/>
  <c r="Q30" i="1"/>
  <c r="T30" i="1" s="1"/>
  <c r="Q31" i="1"/>
  <c r="Q32" i="1"/>
  <c r="T32" i="1" s="1"/>
  <c r="Q33" i="1"/>
  <c r="Q34" i="1"/>
  <c r="Q35" i="1"/>
  <c r="Q36" i="1"/>
  <c r="Q37" i="1"/>
  <c r="Q38" i="1"/>
  <c r="T38" i="1" s="1"/>
  <c r="Q39" i="1"/>
  <c r="Q40" i="1"/>
  <c r="T40" i="1" s="1"/>
  <c r="Q41" i="1"/>
  <c r="Q42" i="1"/>
  <c r="T42" i="1" s="1"/>
  <c r="Q43" i="1"/>
  <c r="Q44" i="1"/>
  <c r="Q45" i="1"/>
  <c r="Q46" i="1"/>
  <c r="T46" i="1" s="1"/>
  <c r="Q47" i="1"/>
  <c r="Q48" i="1"/>
  <c r="T48" i="1" s="1"/>
  <c r="Q49" i="1"/>
  <c r="Q50" i="1"/>
  <c r="T50" i="1" s="1"/>
  <c r="Q51" i="1"/>
  <c r="Q52" i="1"/>
  <c r="Q53" i="1"/>
  <c r="Q54" i="1"/>
  <c r="T54" i="1" s="1"/>
  <c r="Q55" i="1"/>
  <c r="Q56" i="1"/>
  <c r="T56" i="1" s="1"/>
  <c r="Q57" i="1"/>
  <c r="Q58" i="1"/>
  <c r="T58" i="1" s="1"/>
  <c r="Q59" i="1"/>
  <c r="Q60" i="1"/>
  <c r="Q61" i="1"/>
  <c r="Q62" i="1"/>
  <c r="T62" i="1" s="1"/>
  <c r="Q63" i="1"/>
  <c r="Q64" i="1"/>
  <c r="T64" i="1" s="1"/>
  <c r="Q65" i="1"/>
  <c r="Q66" i="1"/>
  <c r="Q67" i="1"/>
  <c r="Q68" i="1"/>
  <c r="Q69" i="1"/>
  <c r="Q70" i="1"/>
  <c r="T70" i="1" s="1"/>
  <c r="Q71" i="1"/>
  <c r="Q72" i="1"/>
  <c r="Q73" i="1"/>
  <c r="Q74" i="1"/>
  <c r="T74" i="1" s="1"/>
  <c r="Q75" i="1"/>
  <c r="Q76" i="1"/>
  <c r="Q77" i="1"/>
  <c r="Q78" i="1"/>
  <c r="T78" i="1" s="1"/>
  <c r="Q79" i="1"/>
  <c r="Q80" i="1"/>
  <c r="T80" i="1" s="1"/>
  <c r="Q81" i="1"/>
  <c r="Q82" i="1"/>
  <c r="Q83" i="1"/>
  <c r="Q84" i="1"/>
  <c r="Q85" i="1"/>
  <c r="Q86" i="1"/>
  <c r="T86" i="1" s="1"/>
  <c r="Q87" i="1"/>
  <c r="Q88" i="1"/>
  <c r="T88" i="1" s="1"/>
  <c r="Q89" i="1"/>
  <c r="Q90" i="1"/>
  <c r="Q91" i="1"/>
  <c r="Q92" i="1"/>
  <c r="Q93" i="1"/>
  <c r="Q94" i="1"/>
  <c r="T94" i="1" s="1"/>
  <c r="Q95" i="1"/>
  <c r="Q96" i="1"/>
  <c r="T96" i="1" s="1"/>
  <c r="Q97" i="1"/>
  <c r="Q98" i="1"/>
  <c r="Q99" i="1"/>
  <c r="Q100" i="1"/>
  <c r="Q101" i="1"/>
  <c r="Q102" i="1"/>
  <c r="Q103" i="1"/>
  <c r="Q104" i="1"/>
  <c r="T104" i="1" s="1"/>
  <c r="Q105" i="1"/>
  <c r="Q106" i="1"/>
  <c r="T106" i="1" s="1"/>
  <c r="Q107" i="1"/>
  <c r="Q108" i="1"/>
  <c r="Q109" i="1"/>
  <c r="Q110" i="1"/>
  <c r="T110" i="1" s="1"/>
  <c r="Q111" i="1"/>
  <c r="Q112" i="1"/>
  <c r="T112" i="1" s="1"/>
  <c r="Q113" i="1"/>
  <c r="Q114" i="1"/>
  <c r="T114" i="1" s="1"/>
  <c r="Q115" i="1"/>
  <c r="Q116" i="1"/>
  <c r="Q117" i="1"/>
  <c r="Q118" i="1"/>
  <c r="T118" i="1" s="1"/>
  <c r="Q119" i="1"/>
  <c r="Q120" i="1"/>
  <c r="T120" i="1" s="1"/>
  <c r="Q121" i="1"/>
  <c r="Q122" i="1"/>
  <c r="T122" i="1" s="1"/>
  <c r="Q123" i="1"/>
  <c r="Q124" i="1"/>
  <c r="Q125" i="1"/>
  <c r="Q126" i="1"/>
  <c r="T126" i="1" s="1"/>
  <c r="Q127" i="1"/>
  <c r="Q128" i="1"/>
  <c r="T128" i="1" s="1"/>
  <c r="Q129" i="1"/>
  <c r="Q130" i="1"/>
  <c r="T130" i="1" s="1"/>
  <c r="Q131" i="1"/>
  <c r="Q132" i="1"/>
  <c r="Q133" i="1"/>
  <c r="Q134" i="1"/>
  <c r="T134" i="1" s="1"/>
  <c r="Q135" i="1"/>
  <c r="Q136" i="1"/>
  <c r="T136" i="1" s="1"/>
  <c r="Q137" i="1"/>
  <c r="Q138" i="1"/>
  <c r="T138" i="1" s="1"/>
  <c r="Q139" i="1"/>
  <c r="Q140" i="1"/>
  <c r="Q141" i="1"/>
  <c r="Q142" i="1"/>
  <c r="T142" i="1" s="1"/>
  <c r="Q143" i="1"/>
  <c r="Q144" i="1"/>
  <c r="T144" i="1" s="1"/>
  <c r="Q145" i="1"/>
  <c r="Q146" i="1"/>
  <c r="T146" i="1" s="1"/>
  <c r="Q147" i="1"/>
  <c r="Q148" i="1"/>
  <c r="Q149" i="1"/>
  <c r="Q150" i="1"/>
  <c r="T150" i="1" s="1"/>
  <c r="Q151" i="1"/>
  <c r="Q152" i="1"/>
  <c r="T152" i="1" s="1"/>
  <c r="Q153" i="1"/>
  <c r="Q154" i="1"/>
  <c r="T154" i="1" s="1"/>
  <c r="Q155" i="1"/>
  <c r="Q156" i="1"/>
  <c r="Q157" i="1"/>
  <c r="Q158" i="1"/>
  <c r="T158" i="1" s="1"/>
  <c r="Q159" i="1"/>
  <c r="Q160" i="1"/>
  <c r="T160" i="1" s="1"/>
  <c r="Q161" i="1"/>
  <c r="Q162" i="1"/>
  <c r="T162" i="1" s="1"/>
  <c r="Q163" i="1"/>
  <c r="Q164" i="1"/>
  <c r="Q165" i="1"/>
  <c r="Q166" i="1"/>
  <c r="T166" i="1" s="1"/>
  <c r="Q167" i="1"/>
  <c r="Q168" i="1"/>
  <c r="T168" i="1" s="1"/>
  <c r="Q169" i="1"/>
  <c r="Q170" i="1"/>
  <c r="T170" i="1" s="1"/>
  <c r="Q171" i="1"/>
  <c r="Q172" i="1"/>
  <c r="Q173" i="1"/>
  <c r="Q174" i="1"/>
  <c r="T174" i="1" s="1"/>
  <c r="Q175" i="1"/>
  <c r="Q176" i="1"/>
  <c r="T176" i="1" s="1"/>
  <c r="Q177" i="1"/>
  <c r="Q178" i="1"/>
  <c r="T178" i="1" s="1"/>
  <c r="Q179" i="1"/>
  <c r="Q180" i="1"/>
  <c r="Q181" i="1"/>
  <c r="Q182" i="1"/>
  <c r="T182" i="1" s="1"/>
  <c r="Q183" i="1"/>
  <c r="Q184" i="1"/>
  <c r="T184" i="1" s="1"/>
  <c r="Q185" i="1"/>
  <c r="Q186" i="1"/>
  <c r="T186" i="1" s="1"/>
  <c r="Q187" i="1"/>
  <c r="Q188" i="1"/>
  <c r="Q189" i="1"/>
  <c r="Q190" i="1"/>
  <c r="T190" i="1" s="1"/>
  <c r="Q191" i="1"/>
  <c r="Q192" i="1"/>
  <c r="T192" i="1" s="1"/>
  <c r="Q193" i="1"/>
  <c r="Q194" i="1"/>
  <c r="Q195" i="1"/>
  <c r="Q196" i="1"/>
  <c r="Q197" i="1"/>
  <c r="Q198" i="1"/>
  <c r="T198" i="1" s="1"/>
  <c r="Q199" i="1"/>
  <c r="Q200" i="1"/>
  <c r="T200" i="1" s="1"/>
  <c r="Q201" i="1"/>
  <c r="Q202" i="1"/>
  <c r="Q203" i="1"/>
  <c r="Q204" i="1"/>
  <c r="Q205" i="1"/>
  <c r="Q206" i="1"/>
  <c r="T206" i="1" s="1"/>
  <c r="Q207" i="1"/>
  <c r="Q208" i="1"/>
  <c r="T208" i="1" s="1"/>
  <c r="Q209" i="1"/>
  <c r="Q210" i="1"/>
  <c r="Q211" i="1"/>
  <c r="Q212" i="1"/>
  <c r="Q213" i="1"/>
  <c r="Q214" i="1"/>
  <c r="T214" i="1" s="1"/>
  <c r="Q215" i="1"/>
  <c r="Q216" i="1"/>
  <c r="T216" i="1" s="1"/>
  <c r="Q217" i="1"/>
  <c r="Q218" i="1"/>
  <c r="Q219" i="1"/>
  <c r="Q220" i="1"/>
  <c r="Q221" i="1"/>
  <c r="Q222" i="1"/>
  <c r="T222" i="1" s="1"/>
  <c r="Q223" i="1"/>
  <c r="Q224" i="1"/>
  <c r="T224" i="1" s="1"/>
  <c r="Q225" i="1"/>
  <c r="Q226" i="1"/>
  <c r="T226" i="1" s="1"/>
  <c r="Q227" i="1"/>
  <c r="Q228" i="1"/>
  <c r="Q229" i="1"/>
  <c r="Q230" i="1"/>
  <c r="T230" i="1" s="1"/>
  <c r="Q231" i="1"/>
  <c r="Q232" i="1"/>
  <c r="T232" i="1" s="1"/>
  <c r="Q233" i="1"/>
  <c r="Q234" i="1"/>
  <c r="T234" i="1" s="1"/>
  <c r="Q235" i="1"/>
  <c r="Q236" i="1"/>
  <c r="Q237" i="1"/>
  <c r="Q238" i="1"/>
  <c r="T238" i="1" s="1"/>
  <c r="Q239" i="1"/>
  <c r="Q240" i="1"/>
  <c r="T240" i="1" s="1"/>
  <c r="Q241" i="1"/>
  <c r="Q242" i="1"/>
  <c r="T242" i="1" s="1"/>
  <c r="Q243" i="1"/>
  <c r="Q244" i="1"/>
  <c r="Q245" i="1"/>
  <c r="Q246" i="1"/>
  <c r="T246" i="1" s="1"/>
  <c r="Q247" i="1"/>
  <c r="Q248" i="1"/>
  <c r="T248" i="1" s="1"/>
  <c r="Q249" i="1"/>
  <c r="Q250" i="1"/>
  <c r="T250" i="1" s="1"/>
  <c r="Q251" i="1"/>
  <c r="Q252" i="1"/>
  <c r="Q253" i="1"/>
  <c r="Q254" i="1"/>
  <c r="T254" i="1" s="1"/>
  <c r="Q255" i="1"/>
  <c r="Q256" i="1"/>
  <c r="T256" i="1" s="1"/>
  <c r="Q257" i="1"/>
  <c r="Q258" i="1"/>
  <c r="T258" i="1" s="1"/>
  <c r="Q259" i="1"/>
  <c r="Q260" i="1"/>
  <c r="Q261" i="1"/>
  <c r="Q262" i="1"/>
  <c r="T262" i="1" s="1"/>
  <c r="Q263" i="1"/>
  <c r="Q264" i="1"/>
  <c r="T264" i="1" s="1"/>
  <c r="Q265" i="1"/>
  <c r="Q266" i="1"/>
  <c r="T266" i="1" s="1"/>
  <c r="Q267" i="1"/>
  <c r="Q268" i="1"/>
  <c r="Q269" i="1"/>
  <c r="Q270" i="1"/>
  <c r="T270" i="1" s="1"/>
  <c r="Q271" i="1"/>
  <c r="Q272" i="1"/>
  <c r="T272" i="1" s="1"/>
  <c r="Q273" i="1"/>
  <c r="Q274" i="1"/>
  <c r="T274" i="1" s="1"/>
  <c r="Q275" i="1"/>
  <c r="Q276" i="1"/>
  <c r="Q277" i="1"/>
  <c r="Q278" i="1"/>
  <c r="T278" i="1" s="1"/>
  <c r="Q279" i="1"/>
  <c r="Q280" i="1"/>
  <c r="T280" i="1" s="1"/>
  <c r="Q281" i="1"/>
  <c r="Q282" i="1"/>
  <c r="T282" i="1" s="1"/>
  <c r="Q283" i="1"/>
  <c r="Q284" i="1"/>
  <c r="Q285" i="1"/>
  <c r="Q286" i="1"/>
  <c r="T286" i="1" s="1"/>
  <c r="Q287" i="1"/>
  <c r="Q288" i="1"/>
  <c r="T288" i="1" s="1"/>
  <c r="Q289" i="1"/>
  <c r="Q290" i="1"/>
  <c r="T290" i="1" s="1"/>
  <c r="Q291" i="1"/>
  <c r="Q292" i="1"/>
  <c r="Q293" i="1"/>
  <c r="Q294" i="1"/>
  <c r="T294" i="1" s="1"/>
  <c r="Q295" i="1"/>
  <c r="Q296" i="1"/>
  <c r="T296" i="1" s="1"/>
  <c r="Q297" i="1"/>
  <c r="Q298" i="1"/>
  <c r="T298" i="1" s="1"/>
  <c r="Q299" i="1"/>
  <c r="Q300" i="1"/>
  <c r="Q301" i="1"/>
  <c r="Q302" i="1"/>
  <c r="T302" i="1" s="1"/>
  <c r="Q303" i="1"/>
  <c r="Q304" i="1"/>
  <c r="T304" i="1" s="1"/>
  <c r="Q305" i="1"/>
  <c r="Q306" i="1"/>
  <c r="T306" i="1" s="1"/>
  <c r="Q307" i="1"/>
  <c r="Q308" i="1"/>
  <c r="Q309" i="1"/>
  <c r="Q310" i="1"/>
  <c r="T310" i="1" s="1"/>
  <c r="Q311" i="1"/>
  <c r="Q312" i="1"/>
  <c r="T312" i="1" s="1"/>
  <c r="Q313" i="1"/>
  <c r="Q314" i="1"/>
  <c r="T314" i="1" s="1"/>
  <c r="Q315" i="1"/>
  <c r="Q316" i="1"/>
  <c r="Q317" i="1"/>
  <c r="Q318" i="1"/>
  <c r="T318" i="1" s="1"/>
  <c r="Q319" i="1"/>
  <c r="Q320" i="1"/>
  <c r="T320" i="1" s="1"/>
  <c r="Q321" i="1"/>
  <c r="Q322" i="1"/>
  <c r="T322" i="1" s="1"/>
  <c r="Q323" i="1"/>
  <c r="Q324" i="1"/>
  <c r="Q325" i="1"/>
  <c r="Q326" i="1"/>
  <c r="Q327" i="1"/>
  <c r="Q328" i="1"/>
  <c r="T328" i="1" s="1"/>
  <c r="Q329" i="1"/>
  <c r="Q330" i="1"/>
  <c r="T330" i="1" s="1"/>
  <c r="Q331" i="1"/>
  <c r="Q332" i="1"/>
  <c r="Q333" i="1"/>
  <c r="Q334" i="1"/>
  <c r="T334" i="1" s="1"/>
  <c r="Q335" i="1"/>
  <c r="Q336" i="1"/>
  <c r="T336" i="1" s="1"/>
  <c r="Q337" i="1"/>
  <c r="Q338" i="1"/>
  <c r="T338" i="1" s="1"/>
  <c r="Q339" i="1"/>
  <c r="Q340" i="1"/>
  <c r="Q341" i="1"/>
  <c r="Q342" i="1"/>
  <c r="T342" i="1" s="1"/>
  <c r="Q343" i="1"/>
  <c r="Q344" i="1"/>
  <c r="T344" i="1" s="1"/>
  <c r="Q345" i="1"/>
  <c r="Q346" i="1"/>
  <c r="T346" i="1" s="1"/>
  <c r="Q347" i="1"/>
  <c r="Q348" i="1"/>
  <c r="Q349" i="1"/>
  <c r="Q350" i="1"/>
  <c r="T350" i="1" s="1"/>
  <c r="Q351" i="1"/>
  <c r="Q352" i="1"/>
  <c r="T352" i="1" s="1"/>
  <c r="Q353" i="1"/>
  <c r="Q354" i="1"/>
  <c r="T354" i="1" s="1"/>
  <c r="Q355" i="1"/>
  <c r="Q356" i="1"/>
  <c r="Q357" i="1"/>
  <c r="Q358" i="1"/>
  <c r="T358" i="1" s="1"/>
  <c r="Q359" i="1"/>
  <c r="Q360" i="1"/>
  <c r="T360" i="1" s="1"/>
  <c r="Q361" i="1"/>
  <c r="Q362" i="1"/>
  <c r="T362" i="1" s="1"/>
  <c r="Q363" i="1"/>
  <c r="Q364" i="1"/>
  <c r="Q365" i="1"/>
  <c r="Q366" i="1"/>
  <c r="T366" i="1" s="1"/>
  <c r="Q367" i="1"/>
  <c r="Q368" i="1"/>
  <c r="T368" i="1" s="1"/>
  <c r="Q369" i="1"/>
  <c r="Q370" i="1"/>
  <c r="T370" i="1" s="1"/>
  <c r="Q371" i="1"/>
  <c r="Q372" i="1"/>
  <c r="Q373" i="1"/>
  <c r="Q374" i="1"/>
  <c r="T374" i="1" s="1"/>
  <c r="Q375" i="1"/>
  <c r="Q376" i="1"/>
  <c r="T376" i="1" s="1"/>
  <c r="Q377" i="1"/>
  <c r="Q378" i="1"/>
  <c r="T378" i="1" s="1"/>
  <c r="Q379" i="1"/>
  <c r="Q380" i="1"/>
  <c r="Q381" i="1"/>
  <c r="Q382" i="1"/>
  <c r="T382" i="1" s="1"/>
  <c r="Q383" i="1"/>
  <c r="Q384" i="1"/>
  <c r="T384" i="1" s="1"/>
  <c r="Q385" i="1"/>
  <c r="Q386" i="1"/>
  <c r="T386" i="1" s="1"/>
  <c r="Q387" i="1"/>
  <c r="Q388" i="1"/>
  <c r="Q389" i="1"/>
  <c r="Q390" i="1"/>
  <c r="T390" i="1" s="1"/>
  <c r="Q391" i="1"/>
  <c r="Q392" i="1"/>
  <c r="T392" i="1" s="1"/>
  <c r="Q393" i="1"/>
  <c r="Q394" i="1"/>
  <c r="T394" i="1" s="1"/>
  <c r="Q395" i="1"/>
  <c r="Q396" i="1"/>
  <c r="Q397" i="1"/>
  <c r="Q398" i="1"/>
  <c r="T398" i="1" s="1"/>
  <c r="Q399" i="1"/>
  <c r="Q400" i="1"/>
  <c r="T400" i="1" s="1"/>
  <c r="Q401" i="1"/>
  <c r="Q402" i="1"/>
  <c r="T402" i="1" s="1"/>
  <c r="Q403" i="1"/>
  <c r="Q404" i="1"/>
  <c r="Q405" i="1"/>
  <c r="Q406" i="1"/>
  <c r="T406" i="1" s="1"/>
  <c r="Q407" i="1"/>
  <c r="Q408" i="1"/>
  <c r="T408" i="1" s="1"/>
  <c r="Q409" i="1"/>
  <c r="Q410" i="1"/>
  <c r="T410" i="1" s="1"/>
  <c r="Q411" i="1"/>
  <c r="Q412" i="1"/>
  <c r="Q413" i="1"/>
  <c r="Q414" i="1"/>
  <c r="T414" i="1" s="1"/>
  <c r="Q415" i="1"/>
  <c r="Q416" i="1"/>
  <c r="T416" i="1" s="1"/>
  <c r="Q417" i="1"/>
  <c r="Q418" i="1"/>
  <c r="T418" i="1" s="1"/>
  <c r="Q419" i="1"/>
  <c r="Q420" i="1"/>
  <c r="Q421" i="1"/>
  <c r="Q422" i="1"/>
  <c r="T422" i="1" s="1"/>
  <c r="Q423" i="1"/>
  <c r="Q424" i="1"/>
  <c r="T424" i="1" s="1"/>
  <c r="Q425" i="1"/>
  <c r="Q426" i="1"/>
  <c r="T426" i="1" s="1"/>
  <c r="Q427" i="1"/>
  <c r="Q428" i="1"/>
  <c r="Q429" i="1"/>
  <c r="Q430" i="1"/>
  <c r="T430" i="1" s="1"/>
  <c r="Q431" i="1"/>
  <c r="Q432" i="1"/>
  <c r="T432" i="1" s="1"/>
  <c r="Q433" i="1"/>
  <c r="Q434" i="1"/>
  <c r="T434" i="1" s="1"/>
  <c r="Q435" i="1"/>
  <c r="Q436" i="1"/>
  <c r="Q437" i="1"/>
  <c r="Q438" i="1"/>
  <c r="T438" i="1" s="1"/>
  <c r="Q439" i="1"/>
  <c r="Q440" i="1"/>
  <c r="T440" i="1" s="1"/>
  <c r="Q441" i="1"/>
  <c r="Q442" i="1"/>
  <c r="T442" i="1" s="1"/>
  <c r="Q443" i="1"/>
  <c r="Q444" i="1"/>
  <c r="Q445" i="1"/>
  <c r="Q446" i="1"/>
  <c r="T446" i="1" s="1"/>
  <c r="Q447" i="1"/>
  <c r="Q448" i="1"/>
  <c r="T448" i="1" s="1"/>
  <c r="Q449" i="1"/>
  <c r="Q450" i="1"/>
  <c r="T450" i="1" s="1"/>
  <c r="Q451" i="1"/>
  <c r="Q452" i="1"/>
  <c r="Q453" i="1"/>
  <c r="Q454" i="1"/>
  <c r="T454" i="1" s="1"/>
  <c r="Q455" i="1"/>
  <c r="Q456" i="1"/>
  <c r="T456" i="1" s="1"/>
  <c r="Q457" i="1"/>
  <c r="Q458" i="1"/>
  <c r="T458" i="1" s="1"/>
  <c r="Q459" i="1"/>
  <c r="Q460" i="1"/>
  <c r="Q461" i="1"/>
  <c r="Q462" i="1"/>
  <c r="T462" i="1" s="1"/>
  <c r="Q463" i="1"/>
  <c r="Q464" i="1"/>
  <c r="T464" i="1" s="1"/>
  <c r="Q465" i="1"/>
  <c r="Q466" i="1"/>
  <c r="T466" i="1" s="1"/>
  <c r="Q467" i="1"/>
  <c r="Q468" i="1"/>
  <c r="Q469" i="1"/>
  <c r="Q470" i="1"/>
  <c r="T470" i="1" s="1"/>
  <c r="Q471" i="1"/>
  <c r="Q472" i="1"/>
  <c r="T472" i="1" s="1"/>
  <c r="Q473" i="1"/>
  <c r="Q474" i="1"/>
  <c r="T474" i="1" s="1"/>
  <c r="Q475" i="1"/>
  <c r="Q476" i="1"/>
  <c r="Q477" i="1"/>
  <c r="Q478" i="1"/>
  <c r="T478" i="1" s="1"/>
  <c r="Q479" i="1"/>
  <c r="Q480" i="1"/>
  <c r="T480" i="1" s="1"/>
  <c r="Q481" i="1"/>
  <c r="Q482" i="1"/>
  <c r="T482" i="1" s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T520" i="1" s="1"/>
  <c r="Q521" i="1"/>
  <c r="Q522" i="1"/>
  <c r="T522" i="1" s="1"/>
  <c r="Q523" i="1"/>
  <c r="Q524" i="1"/>
  <c r="Q525" i="1"/>
  <c r="Q526" i="1"/>
  <c r="T526" i="1" s="1"/>
  <c r="Q527" i="1"/>
  <c r="Q528" i="1"/>
  <c r="T528" i="1" s="1"/>
  <c r="Q529" i="1"/>
  <c r="Q530" i="1"/>
  <c r="T530" i="1" s="1"/>
  <c r="Q531" i="1"/>
  <c r="Q532" i="1"/>
  <c r="Q533" i="1"/>
  <c r="Q534" i="1"/>
  <c r="T534" i="1" s="1"/>
  <c r="Q535" i="1"/>
  <c r="Q536" i="1"/>
  <c r="T536" i="1" s="1"/>
  <c r="Q537" i="1"/>
  <c r="Q538" i="1"/>
  <c r="T538" i="1" s="1"/>
  <c r="Q539" i="1"/>
  <c r="Q540" i="1"/>
  <c r="Q541" i="1"/>
  <c r="Q542" i="1"/>
  <c r="T542" i="1" s="1"/>
  <c r="Q543" i="1"/>
  <c r="Q544" i="1"/>
  <c r="T544" i="1" s="1"/>
  <c r="Q545" i="1"/>
  <c r="Q546" i="1"/>
  <c r="T546" i="1" s="1"/>
  <c r="Q547" i="1"/>
  <c r="Q548" i="1"/>
  <c r="Q549" i="1"/>
  <c r="Q550" i="1"/>
  <c r="T550" i="1" s="1"/>
  <c r="Q551" i="1"/>
  <c r="Q552" i="1"/>
  <c r="T552" i="1" s="1"/>
  <c r="Q553" i="1"/>
  <c r="Q554" i="1"/>
  <c r="T554" i="1" s="1"/>
  <c r="Q555" i="1"/>
  <c r="Q556" i="1"/>
  <c r="Q557" i="1"/>
  <c r="Q558" i="1"/>
  <c r="T558" i="1" s="1"/>
  <c r="Q559" i="1"/>
  <c r="Q560" i="1"/>
  <c r="T560" i="1" s="1"/>
  <c r="Q561" i="1"/>
  <c r="Q562" i="1"/>
  <c r="Q563" i="1"/>
  <c r="Q564" i="1"/>
  <c r="Q565" i="1"/>
  <c r="Q566" i="1"/>
  <c r="T566" i="1" s="1"/>
  <c r="Q567" i="1"/>
  <c r="Q568" i="1"/>
  <c r="T568" i="1" s="1"/>
  <c r="Q569" i="1"/>
  <c r="Q570" i="1"/>
  <c r="Q571" i="1"/>
  <c r="Q572" i="1"/>
  <c r="Q573" i="1"/>
  <c r="Q574" i="1"/>
  <c r="T574" i="1" s="1"/>
  <c r="Q575" i="1"/>
  <c r="Q576" i="1"/>
  <c r="T576" i="1" s="1"/>
  <c r="Q577" i="1"/>
  <c r="T577" i="1" s="1"/>
  <c r="Q578" i="1"/>
  <c r="Q579" i="1"/>
  <c r="Q580" i="1"/>
  <c r="Q581" i="1"/>
  <c r="Q582" i="1"/>
  <c r="T582" i="1" s="1"/>
  <c r="Q583" i="1"/>
  <c r="Q584" i="1"/>
  <c r="T584" i="1" s="1"/>
  <c r="Q585" i="1"/>
  <c r="Q586" i="1"/>
  <c r="Q587" i="1"/>
  <c r="Q588" i="1"/>
  <c r="Q589" i="1"/>
  <c r="Q590" i="1"/>
  <c r="T590" i="1" s="1"/>
  <c r="Q591" i="1"/>
  <c r="Q592" i="1"/>
  <c r="T592" i="1" s="1"/>
  <c r="Q593" i="1"/>
  <c r="Q594" i="1"/>
  <c r="T594" i="1" s="1"/>
  <c r="Q595" i="1"/>
  <c r="Q596" i="1"/>
  <c r="Q597" i="1"/>
  <c r="Q598" i="1"/>
  <c r="Q599" i="1"/>
  <c r="Q600" i="1"/>
  <c r="T600" i="1" s="1"/>
  <c r="Q601" i="1"/>
  <c r="Q602" i="1"/>
  <c r="Q603" i="1"/>
  <c r="Q604" i="1"/>
  <c r="Q605" i="1"/>
  <c r="Q606" i="1"/>
  <c r="T606" i="1" s="1"/>
  <c r="Q607" i="1"/>
  <c r="Q608" i="1"/>
  <c r="T608" i="1" s="1"/>
  <c r="Q609" i="1"/>
  <c r="Q610" i="1"/>
  <c r="Q611" i="1"/>
  <c r="Q612" i="1"/>
  <c r="Q613" i="1"/>
  <c r="Q614" i="1"/>
  <c r="T614" i="1" s="1"/>
  <c r="Q615" i="1"/>
  <c r="Q616" i="1"/>
  <c r="T616" i="1" s="1"/>
  <c r="Q617" i="1"/>
  <c r="Q618" i="1"/>
  <c r="Q619" i="1"/>
  <c r="Q620" i="1"/>
  <c r="Q621" i="1"/>
  <c r="Q622" i="1"/>
  <c r="T622" i="1" s="1"/>
  <c r="Q623" i="1"/>
  <c r="Q624" i="1"/>
  <c r="T624" i="1" s="1"/>
  <c r="Q625" i="1"/>
  <c r="T625" i="1" s="1"/>
  <c r="Q626" i="1"/>
  <c r="T626" i="1" s="1"/>
  <c r="Q627" i="1"/>
  <c r="Q628" i="1"/>
  <c r="Q629" i="1"/>
  <c r="Q630" i="1"/>
  <c r="T630" i="1" s="1"/>
  <c r="Q2" i="1"/>
  <c r="T2" i="1" s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Z621" i="1"/>
  <c r="Z622" i="1"/>
  <c r="Z623" i="1"/>
  <c r="Z624" i="1"/>
  <c r="Z625" i="1"/>
  <c r="Z626" i="1"/>
  <c r="Z627" i="1"/>
  <c r="Z628" i="1"/>
  <c r="Z629" i="1"/>
  <c r="Z630" i="1"/>
  <c r="Z620" i="1"/>
  <c r="Z610" i="1"/>
  <c r="Z611" i="1"/>
  <c r="Z612" i="1"/>
  <c r="Z613" i="1"/>
  <c r="Z614" i="1"/>
  <c r="Z615" i="1"/>
  <c r="Z616" i="1"/>
  <c r="Z609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66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492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33" i="1"/>
  <c r="Z431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377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44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06" i="1"/>
  <c r="Z296" i="1"/>
  <c r="Z283" i="1"/>
  <c r="Z286" i="1"/>
  <c r="Z287" i="1"/>
  <c r="Z288" i="1"/>
  <c r="Z289" i="1"/>
  <c r="Z290" i="1"/>
  <c r="Z291" i="1"/>
  <c r="Z292" i="1"/>
  <c r="Z293" i="1"/>
  <c r="Z294" i="1"/>
  <c r="Z295" i="1"/>
  <c r="Z297" i="1"/>
  <c r="Z280" i="1"/>
  <c r="Z250" i="1"/>
  <c r="Z251" i="1"/>
  <c r="Z252" i="1"/>
  <c r="Z253" i="1"/>
  <c r="Z254" i="1"/>
  <c r="Z255" i="1"/>
  <c r="Z256" i="1"/>
  <c r="Z257" i="1"/>
  <c r="Z258" i="1"/>
  <c r="Z259" i="1"/>
  <c r="Z260" i="1"/>
  <c r="Z249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05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13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48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9" i="1"/>
  <c r="F96" i="1"/>
  <c r="F2" i="1"/>
  <c r="F58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T3" i="1"/>
  <c r="T4" i="1"/>
  <c r="T5" i="1"/>
  <c r="T7" i="1"/>
  <c r="T10" i="1"/>
  <c r="T11" i="1"/>
  <c r="T12" i="1"/>
  <c r="T13" i="1"/>
  <c r="T15" i="1"/>
  <c r="T17" i="1"/>
  <c r="T18" i="1"/>
  <c r="T19" i="1"/>
  <c r="T20" i="1"/>
  <c r="T21" i="1"/>
  <c r="T23" i="1"/>
  <c r="T24" i="1"/>
  <c r="T25" i="1"/>
  <c r="T26" i="1"/>
  <c r="T27" i="1"/>
  <c r="T28" i="1"/>
  <c r="T29" i="1"/>
  <c r="T31" i="1"/>
  <c r="T33" i="1"/>
  <c r="T34" i="1"/>
  <c r="T35" i="1"/>
  <c r="T36" i="1"/>
  <c r="T37" i="1"/>
  <c r="T595" i="1"/>
  <c r="T596" i="1"/>
  <c r="T597" i="1"/>
  <c r="T598" i="1"/>
  <c r="T599" i="1"/>
  <c r="T601" i="1"/>
  <c r="T602" i="1"/>
  <c r="T603" i="1"/>
  <c r="T604" i="1"/>
  <c r="T605" i="1"/>
  <c r="T607" i="1"/>
  <c r="T609" i="1"/>
  <c r="T610" i="1"/>
  <c r="T611" i="1"/>
  <c r="T612" i="1"/>
  <c r="T613" i="1"/>
  <c r="T615" i="1"/>
  <c r="T617" i="1"/>
  <c r="T618" i="1"/>
  <c r="T619" i="1"/>
  <c r="T620" i="1"/>
  <c r="T621" i="1"/>
  <c r="T623" i="1"/>
  <c r="T627" i="1"/>
  <c r="T628" i="1"/>
  <c r="T629" i="1"/>
  <c r="T575" i="1"/>
  <c r="T559" i="1"/>
  <c r="T561" i="1"/>
  <c r="T562" i="1"/>
  <c r="T563" i="1"/>
  <c r="T564" i="1"/>
  <c r="T565" i="1"/>
  <c r="T567" i="1"/>
  <c r="T569" i="1"/>
  <c r="T570" i="1"/>
  <c r="T571" i="1"/>
  <c r="T572" i="1"/>
  <c r="T573" i="1"/>
  <c r="T578" i="1"/>
  <c r="T579" i="1"/>
  <c r="T580" i="1"/>
  <c r="T581" i="1"/>
  <c r="T583" i="1"/>
  <c r="T585" i="1"/>
  <c r="T586" i="1"/>
  <c r="T587" i="1"/>
  <c r="T588" i="1"/>
  <c r="T589" i="1"/>
  <c r="T591" i="1"/>
  <c r="T593" i="1"/>
  <c r="T557" i="1"/>
  <c r="T556" i="1"/>
  <c r="T521" i="1"/>
  <c r="T523" i="1"/>
  <c r="T524" i="1"/>
  <c r="T525" i="1"/>
  <c r="T527" i="1"/>
  <c r="T529" i="1"/>
  <c r="T531" i="1"/>
  <c r="T532" i="1"/>
  <c r="T533" i="1"/>
  <c r="T535" i="1"/>
  <c r="T537" i="1"/>
  <c r="T539" i="1"/>
  <c r="T540" i="1"/>
  <c r="T541" i="1"/>
  <c r="T543" i="1"/>
  <c r="T545" i="1"/>
  <c r="T547" i="1"/>
  <c r="T548" i="1"/>
  <c r="T549" i="1"/>
  <c r="T551" i="1"/>
  <c r="T553" i="1"/>
  <c r="T555" i="1"/>
  <c r="T447" i="1"/>
  <c r="T449" i="1"/>
  <c r="T451" i="1"/>
  <c r="T452" i="1"/>
  <c r="T453" i="1"/>
  <c r="T455" i="1"/>
  <c r="T457" i="1"/>
  <c r="T459" i="1"/>
  <c r="T460" i="1"/>
  <c r="T461" i="1"/>
  <c r="T463" i="1"/>
  <c r="T465" i="1"/>
  <c r="T467" i="1"/>
  <c r="T468" i="1"/>
  <c r="T469" i="1"/>
  <c r="T471" i="1"/>
  <c r="T473" i="1"/>
  <c r="T475" i="1"/>
  <c r="T476" i="1"/>
  <c r="T477" i="1"/>
  <c r="T479" i="1"/>
  <c r="T481" i="1"/>
  <c r="T445" i="1"/>
  <c r="T444" i="1"/>
  <c r="T411" i="1"/>
  <c r="T412" i="1"/>
  <c r="T413" i="1"/>
  <c r="T415" i="1"/>
  <c r="T417" i="1"/>
  <c r="T419" i="1"/>
  <c r="T420" i="1"/>
  <c r="T421" i="1"/>
  <c r="T423" i="1"/>
  <c r="T425" i="1"/>
  <c r="T427" i="1"/>
  <c r="T428" i="1"/>
  <c r="T429" i="1"/>
  <c r="T431" i="1"/>
  <c r="T433" i="1"/>
  <c r="T435" i="1"/>
  <c r="T436" i="1"/>
  <c r="T437" i="1"/>
  <c r="T439" i="1"/>
  <c r="T441" i="1"/>
  <c r="T443" i="1"/>
  <c r="T409" i="1"/>
  <c r="T405" i="1"/>
  <c r="T407" i="1"/>
  <c r="T373" i="1"/>
  <c r="T375" i="1"/>
  <c r="T377" i="1"/>
  <c r="T379" i="1"/>
  <c r="T380" i="1"/>
  <c r="T381" i="1"/>
  <c r="T383" i="1"/>
  <c r="T385" i="1"/>
  <c r="T387" i="1"/>
  <c r="T388" i="1"/>
  <c r="T389" i="1"/>
  <c r="T391" i="1"/>
  <c r="T393" i="1"/>
  <c r="T395" i="1"/>
  <c r="T396" i="1"/>
  <c r="T397" i="1"/>
  <c r="T399" i="1"/>
  <c r="T401" i="1"/>
  <c r="T403" i="1"/>
  <c r="T404" i="1"/>
  <c r="T372" i="1"/>
  <c r="T337" i="1"/>
  <c r="T339" i="1"/>
  <c r="T340" i="1"/>
  <c r="T341" i="1"/>
  <c r="T343" i="1"/>
  <c r="T345" i="1"/>
  <c r="T347" i="1"/>
  <c r="T348" i="1"/>
  <c r="T349" i="1"/>
  <c r="T351" i="1"/>
  <c r="T353" i="1"/>
  <c r="T355" i="1"/>
  <c r="T356" i="1"/>
  <c r="T357" i="1"/>
  <c r="T359" i="1"/>
  <c r="T361" i="1"/>
  <c r="T363" i="1"/>
  <c r="T364" i="1"/>
  <c r="T365" i="1"/>
  <c r="T367" i="1"/>
  <c r="T369" i="1"/>
  <c r="T371" i="1"/>
  <c r="T335" i="1"/>
  <c r="T299" i="1"/>
  <c r="T300" i="1"/>
  <c r="T301" i="1"/>
  <c r="T303" i="1"/>
  <c r="T305" i="1"/>
  <c r="T307" i="1"/>
  <c r="T308" i="1"/>
  <c r="T309" i="1"/>
  <c r="T311" i="1"/>
  <c r="T313" i="1"/>
  <c r="T315" i="1"/>
  <c r="T316" i="1"/>
  <c r="T317" i="1"/>
  <c r="T319" i="1"/>
  <c r="T321" i="1"/>
  <c r="T323" i="1"/>
  <c r="T324" i="1"/>
  <c r="T325" i="1"/>
  <c r="T326" i="1"/>
  <c r="T327" i="1"/>
  <c r="T329" i="1"/>
  <c r="T331" i="1"/>
  <c r="T332" i="1"/>
  <c r="T333" i="1"/>
  <c r="T297" i="1"/>
  <c r="T263" i="1"/>
  <c r="T265" i="1"/>
  <c r="T267" i="1"/>
  <c r="T268" i="1"/>
  <c r="T269" i="1"/>
  <c r="T271" i="1"/>
  <c r="T273" i="1"/>
  <c r="T275" i="1"/>
  <c r="T276" i="1"/>
  <c r="T277" i="1"/>
  <c r="T279" i="1"/>
  <c r="T281" i="1"/>
  <c r="T283" i="1"/>
  <c r="T284" i="1"/>
  <c r="T285" i="1"/>
  <c r="T287" i="1"/>
  <c r="T289" i="1"/>
  <c r="T291" i="1"/>
  <c r="T292" i="1"/>
  <c r="T293" i="1"/>
  <c r="T295" i="1"/>
  <c r="T261" i="1"/>
  <c r="T260" i="1"/>
  <c r="T257" i="1"/>
  <c r="T225" i="1"/>
  <c r="T227" i="1"/>
  <c r="T228" i="1"/>
  <c r="T229" i="1"/>
  <c r="T231" i="1"/>
  <c r="T233" i="1"/>
  <c r="T235" i="1"/>
  <c r="T236" i="1"/>
  <c r="T237" i="1"/>
  <c r="T239" i="1"/>
  <c r="T241" i="1"/>
  <c r="T243" i="1"/>
  <c r="T244" i="1"/>
  <c r="T245" i="1"/>
  <c r="T247" i="1"/>
  <c r="T249" i="1"/>
  <c r="T251" i="1"/>
  <c r="T252" i="1"/>
  <c r="T253" i="1"/>
  <c r="T255" i="1"/>
  <c r="T259" i="1"/>
  <c r="T196" i="1"/>
  <c r="T188" i="1"/>
  <c r="T189" i="1"/>
  <c r="T191" i="1"/>
  <c r="T193" i="1"/>
  <c r="T194" i="1"/>
  <c r="T195" i="1"/>
  <c r="T197" i="1"/>
  <c r="T199" i="1"/>
  <c r="T201" i="1"/>
  <c r="T202" i="1"/>
  <c r="T203" i="1"/>
  <c r="T204" i="1"/>
  <c r="T205" i="1"/>
  <c r="T207" i="1"/>
  <c r="T209" i="1"/>
  <c r="T210" i="1"/>
  <c r="T211" i="1"/>
  <c r="T212" i="1"/>
  <c r="T213" i="1"/>
  <c r="T215" i="1"/>
  <c r="T217" i="1"/>
  <c r="T218" i="1"/>
  <c r="T219" i="1"/>
  <c r="T220" i="1"/>
  <c r="T221" i="1"/>
  <c r="T223" i="1"/>
  <c r="T187" i="1"/>
  <c r="T185" i="1"/>
  <c r="T183" i="1"/>
  <c r="T151" i="1"/>
  <c r="T153" i="1"/>
  <c r="T155" i="1"/>
  <c r="T156" i="1"/>
  <c r="T157" i="1"/>
  <c r="T159" i="1"/>
  <c r="T161" i="1"/>
  <c r="T163" i="1"/>
  <c r="T164" i="1"/>
  <c r="T165" i="1"/>
  <c r="T167" i="1"/>
  <c r="T169" i="1"/>
  <c r="T171" i="1"/>
  <c r="T172" i="1"/>
  <c r="T173" i="1"/>
  <c r="T175" i="1"/>
  <c r="T177" i="1"/>
  <c r="T179" i="1"/>
  <c r="T180" i="1"/>
  <c r="T181" i="1"/>
  <c r="T149" i="1"/>
  <c r="T145" i="1"/>
  <c r="T115" i="1"/>
  <c r="T116" i="1"/>
  <c r="T117" i="1"/>
  <c r="T119" i="1"/>
  <c r="T121" i="1"/>
  <c r="T123" i="1"/>
  <c r="T124" i="1"/>
  <c r="T125" i="1"/>
  <c r="T127" i="1"/>
  <c r="T129" i="1"/>
  <c r="T131" i="1"/>
  <c r="T132" i="1"/>
  <c r="T133" i="1"/>
  <c r="T135" i="1"/>
  <c r="T137" i="1"/>
  <c r="T139" i="1"/>
  <c r="T140" i="1"/>
  <c r="T141" i="1"/>
  <c r="T143" i="1"/>
  <c r="T147" i="1"/>
  <c r="T148" i="1"/>
  <c r="T113" i="1"/>
  <c r="T102" i="1"/>
  <c r="T103" i="1"/>
  <c r="T77" i="1"/>
  <c r="T79" i="1"/>
  <c r="T81" i="1"/>
  <c r="T82" i="1"/>
  <c r="T83" i="1"/>
  <c r="T84" i="1"/>
  <c r="T85" i="1"/>
  <c r="T87" i="1"/>
  <c r="T89" i="1"/>
  <c r="T90" i="1"/>
  <c r="T91" i="1"/>
  <c r="T92" i="1"/>
  <c r="T93" i="1"/>
  <c r="T95" i="1"/>
  <c r="T97" i="1"/>
  <c r="T98" i="1"/>
  <c r="T99" i="1"/>
  <c r="T100" i="1"/>
  <c r="T101" i="1"/>
  <c r="T105" i="1"/>
  <c r="T107" i="1"/>
  <c r="T108" i="1"/>
  <c r="T109" i="1"/>
  <c r="T111" i="1"/>
  <c r="T76" i="1"/>
  <c r="T75" i="1"/>
  <c r="T73" i="1"/>
  <c r="T41" i="1"/>
  <c r="T43" i="1"/>
  <c r="T44" i="1"/>
  <c r="T45" i="1"/>
  <c r="T47" i="1"/>
  <c r="T49" i="1"/>
  <c r="T51" i="1"/>
  <c r="T52" i="1"/>
  <c r="T53" i="1"/>
  <c r="T55" i="1"/>
  <c r="T57" i="1"/>
  <c r="T59" i="1"/>
  <c r="T60" i="1"/>
  <c r="T61" i="1"/>
  <c r="T63" i="1"/>
  <c r="T65" i="1"/>
  <c r="T66" i="1"/>
  <c r="T67" i="1"/>
  <c r="T68" i="1"/>
  <c r="T69" i="1"/>
  <c r="T71" i="1"/>
  <c r="T72" i="1"/>
  <c r="T39" i="1"/>
  <c r="T503" i="1" l="1"/>
  <c r="T498" i="1"/>
  <c r="T506" i="1"/>
  <c r="T501" i="1"/>
  <c r="T495" i="1"/>
  <c r="T487" i="1"/>
  <c r="T490" i="1"/>
  <c r="T511" i="1"/>
  <c r="T483" i="1"/>
  <c r="T510" i="1"/>
  <c r="T502" i="1"/>
  <c r="T494" i="1"/>
  <c r="T486" i="1"/>
  <c r="T519" i="1"/>
  <c r="T509" i="1"/>
  <c r="T493" i="1"/>
  <c r="T485" i="1"/>
  <c r="T517" i="1"/>
  <c r="T508" i="1"/>
  <c r="T500" i="1"/>
  <c r="T492" i="1"/>
  <c r="T484" i="1"/>
  <c r="T515" i="1"/>
  <c r="T507" i="1"/>
  <c r="T499" i="1"/>
  <c r="T491" i="1"/>
  <c r="T518" i="1"/>
  <c r="T514" i="1"/>
  <c r="T516" i="1"/>
  <c r="T513" i="1"/>
  <c r="T505" i="1"/>
  <c r="T497" i="1"/>
  <c r="T489" i="1"/>
  <c r="T512" i="1"/>
  <c r="T504" i="1"/>
  <c r="T496" i="1"/>
  <c r="T488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5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MyOECD</author>
  </authors>
  <commentList>
    <comment ref="I39" authorId="0" shapeId="0" xr:uid="{F24F86DA-C1FD-40A3-8B23-7D25666EC1B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39" authorId="0" shapeId="0" xr:uid="{0717DB30-0943-4340-976F-D3BE428533E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0" authorId="0" shapeId="0" xr:uid="{EB9E617D-FD98-47F3-A53D-C7F8772C006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0" authorId="0" shapeId="0" xr:uid="{AA6F2E28-3788-42AD-A3D8-8B9C1B498F8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76" authorId="0" shapeId="0" xr:uid="{1EA648C4-5BA6-4B5F-8206-80699E0E0DE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76" authorId="0" shapeId="0" xr:uid="{830CDDC2-4485-4BEC-BF13-62BA09FD435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77" authorId="0" shapeId="0" xr:uid="{EB83754F-32B8-4A86-B9B7-7CD532C8BA0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77" authorId="0" shapeId="0" xr:uid="{6D506C18-BDCA-4A42-A6B0-5E165E1BCF9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78" authorId="0" shapeId="0" xr:uid="{E828D221-2CFF-400D-9E00-CBD17071290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78" authorId="0" shapeId="0" xr:uid="{3EC4D055-29A3-40F4-B5A4-2A64245BCEC6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79" authorId="0" shapeId="0" xr:uid="{C0EEBE7D-04C4-457B-9A03-60317895A6A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79" authorId="0" shapeId="0" xr:uid="{34F17F8A-5CB5-427F-9715-F5A7C9A1E77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80" authorId="0" shapeId="0" xr:uid="{97F39DCC-C9A5-4FA1-9992-A4E046050AD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80" authorId="0" shapeId="0" xr:uid="{BAC670C1-514B-4896-B37B-59C2CD0A3BD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81" authorId="0" shapeId="0" xr:uid="{79D86EB3-3C95-46EA-BD68-251FA63C73C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81" authorId="0" shapeId="0" xr:uid="{0832126E-6AF1-44BC-9DE6-5CB56C58A8A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82" authorId="0" shapeId="0" xr:uid="{ED7F4F75-B737-44BD-BED9-2CF7B554C37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82" authorId="0" shapeId="0" xr:uid="{4367A84D-0371-413D-882E-90B5B56641A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83" authorId="0" shapeId="0" xr:uid="{D47FB398-ED49-41C5-B6DC-F8BCDFC33A1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83" authorId="0" shapeId="0" xr:uid="{C5090874-77F1-4F8C-99A5-3028F7E4DE0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84" authorId="0" shapeId="0" xr:uid="{2244CAD9-938A-4301-9F2F-279527C5AD9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84" authorId="0" shapeId="0" xr:uid="{51E34EF5-87B6-4FAB-9987-9B37644171E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85" authorId="0" shapeId="0" xr:uid="{1C4CB2A4-AC24-4CE7-B67A-F1A6DBB6E14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85" authorId="0" shapeId="0" xr:uid="{9113F10F-A2F8-4DE2-B2CD-2481462D5DD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86" authorId="0" shapeId="0" xr:uid="{5134F89D-90D3-47B5-9266-B877FAA7AB5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86" authorId="0" shapeId="0" xr:uid="{51440EDD-E6B7-478D-959B-B9BF29C423F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87" authorId="0" shapeId="0" xr:uid="{03CC56A6-CC00-46F6-8DFE-ACA73D43AFC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87" authorId="0" shapeId="0" xr:uid="{EAEEFE08-27CE-4866-AF54-129887B4260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88" authorId="0" shapeId="0" xr:uid="{2A3351DF-5F13-4467-BF11-2E45601AA8A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88" authorId="0" shapeId="0" xr:uid="{A0E85418-2292-419C-A53F-CA40A9BB32A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89" authorId="0" shapeId="0" xr:uid="{7C4CC0D6-0FFD-4F74-A806-75B5BA219AA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89" authorId="0" shapeId="0" xr:uid="{8335279A-E379-43A5-A899-77358488CD4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90" authorId="0" shapeId="0" xr:uid="{40374A41-A28E-4E2C-A88C-4124B4410EB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90" authorId="0" shapeId="0" xr:uid="{EC23BFA2-1F34-4A2F-B06F-0DD3CF2F1B6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91" authorId="0" shapeId="0" xr:uid="{9C047A44-F0DE-47A9-822A-F0C52ADCA1B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91" authorId="0" shapeId="0" xr:uid="{38986B8F-28B7-4EB9-AFBE-81A0CE778BF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13" authorId="0" shapeId="0" xr:uid="{DA33ACDC-E7AC-4C47-8588-8601AE667CC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13" authorId="0" shapeId="0" xr:uid="{7BD28F11-4599-41B5-86C0-135D6AC4276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14" authorId="0" shapeId="0" xr:uid="{03E8A832-9339-480B-B4CB-790C5A18289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14" authorId="0" shapeId="0" xr:uid="{803F1D50-8D22-4201-BA7E-E5A18730EA4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15" authorId="0" shapeId="0" xr:uid="{B29E8C2F-1D5E-473B-AC09-433C758378A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15" authorId="0" shapeId="0" xr:uid="{BF64F247-30F7-4CFB-AF48-59BF9B0B021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16" authorId="0" shapeId="0" xr:uid="{E4245ECA-79D1-492F-B8E3-C3F71FF2EBC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16" authorId="0" shapeId="0" xr:uid="{83E25403-9D6E-46C3-82F3-1E0304A8ED4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17" authorId="0" shapeId="0" xr:uid="{2C4D8CD7-6B5E-45A2-B584-8ACD9154339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17" authorId="0" shapeId="0" xr:uid="{E26E1EED-D3B6-494E-AB7D-63CFC2A26E1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18" authorId="0" shapeId="0" xr:uid="{B8F92AB9-1437-4071-86EC-2A1143A2792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18" authorId="0" shapeId="0" xr:uid="{7A8D4A35-3283-4568-B04A-4035B318A80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19" authorId="0" shapeId="0" xr:uid="{27646BC4-B3D8-4EAA-9CBC-4249B84FBDF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19" authorId="0" shapeId="0" xr:uid="{4DC94021-44E9-4ED0-8C7F-AC0AFDA15D4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20" authorId="0" shapeId="0" xr:uid="{A72AEE8B-19EE-46DD-8AE7-9718B9CE019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20" authorId="0" shapeId="0" xr:uid="{4924E626-8C32-449A-A312-4ED7F078793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21" authorId="0" shapeId="0" xr:uid="{47050331-E971-4892-9FE8-C00A6435C66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21" authorId="0" shapeId="0" xr:uid="{6A6F8656-B926-4992-83D8-F744F783E95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22" authorId="0" shapeId="0" xr:uid="{8A9BC853-0977-4047-9897-5F81BFCDDDD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22" authorId="0" shapeId="0" xr:uid="{3D25598A-6F9D-4EB6-BF84-9DBE5266EC8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23" authorId="0" shapeId="0" xr:uid="{F1A1B1E7-9B17-48C9-A739-11442AD558D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23" authorId="0" shapeId="0" xr:uid="{15E00CDB-6A22-43E1-9549-FFECCFB9F07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24" authorId="0" shapeId="0" xr:uid="{84068A0C-2EF3-4F3A-96F9-9A260322A05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24" authorId="0" shapeId="0" xr:uid="{BA11AD77-6E11-4AAA-ACA3-75F2569B310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25" authorId="0" shapeId="0" xr:uid="{89AEBB02-64E2-4647-8BB9-E7893993898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25" authorId="0" shapeId="0" xr:uid="{643C2643-416D-465D-8936-19C23ECB885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26" authorId="0" shapeId="0" xr:uid="{FA170C94-0BAA-4FE2-AE86-BC83FE50519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26" authorId="0" shapeId="0" xr:uid="{A598ADE9-03F1-4530-B35C-0C20C26028D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27" authorId="0" shapeId="0" xr:uid="{C106E76F-A894-4265-BC57-57C1D5BFD7B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27" authorId="0" shapeId="0" xr:uid="{10B88A88-F005-49C3-8C48-886795C8E4B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28" authorId="0" shapeId="0" xr:uid="{D2C662D0-37F3-4DD3-8CAF-A3C9BF6B9FD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28" authorId="0" shapeId="0" xr:uid="{BA10184F-EDA1-4A6D-A28D-844C829F592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129" authorId="0" shapeId="0" xr:uid="{93ADED78-8713-471B-A0F6-15D83C3197C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129" authorId="0" shapeId="0" xr:uid="{FA76FEEC-8EC9-43BB-98A4-A87CDE254B9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24" authorId="0" shapeId="0" xr:uid="{5675CB79-9041-4A10-98F7-DAEB768444A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24" authorId="0" shapeId="0" xr:uid="{A7EFAC28-385F-498A-8ABF-5CDCDF04BBB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25" authorId="0" shapeId="0" xr:uid="{6577DCE0-4223-47BE-BFC6-3B43C506B93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25" authorId="0" shapeId="0" xr:uid="{F2A36A9B-12B0-42E1-83ED-AB7F7AF903C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26" authorId="0" shapeId="0" xr:uid="{3DEF33F5-AF96-4365-94DA-7C407C977E4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26" authorId="0" shapeId="0" xr:uid="{9CF521C1-073D-4C60-9F77-11520A90658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27" authorId="0" shapeId="0" xr:uid="{6446ACE3-9D4D-470C-A3CC-6FFC11307E0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27" authorId="0" shapeId="0" xr:uid="{CCBA1E45-BF73-4B32-AE3F-9C5E283787E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28" authorId="0" shapeId="0" xr:uid="{B4C48ADE-3B22-4667-AAC3-99FC9F4617A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28" authorId="0" shapeId="0" xr:uid="{1D6B9B8E-09B6-4299-9207-43BC6267D8A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29" authorId="0" shapeId="0" xr:uid="{A3ADB50E-3731-42E2-AD0E-B95E525A40E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29" authorId="0" shapeId="0" xr:uid="{3C401BBB-CD2D-4794-A9C8-3B7DEB5A465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30" authorId="0" shapeId="0" xr:uid="{2E59DD2A-D253-48BC-8A64-24EABB0C665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30" authorId="0" shapeId="0" xr:uid="{3B4B48DB-2C4D-4C81-8CFA-38D2C017C18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31" authorId="0" shapeId="0" xr:uid="{CFAD393F-939E-44B0-9D61-5C55A6F0B01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31" authorId="0" shapeId="0" xr:uid="{CD28D55C-ECB2-4483-8675-3018CA33BC9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32" authorId="0" shapeId="0" xr:uid="{03CC7D26-F808-42C3-98DB-8D267974411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32" authorId="0" shapeId="0" xr:uid="{2549393B-632B-4AE7-89AE-31AFF143BE4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33" authorId="0" shapeId="0" xr:uid="{E09CFC0E-3177-4D16-B446-66ABAE0AF56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33" authorId="0" shapeId="0" xr:uid="{06A844EC-5AE9-46E6-85FD-BF7B44E1733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34" authorId="0" shapeId="0" xr:uid="{74314154-5B7C-4EC7-8919-E7D23A5A1C3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34" authorId="0" shapeId="0" xr:uid="{84883EF4-81D4-4F65-AF2D-7D353412231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35" authorId="0" shapeId="0" xr:uid="{072B89FA-B9B8-49B6-BF33-9D022B59A3D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35" authorId="0" shapeId="0" xr:uid="{C7981CD0-CA72-4519-A322-4205B612DB2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36" authorId="0" shapeId="0" xr:uid="{5FF32F8B-1C2A-4593-8371-3C3702B852C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36" authorId="0" shapeId="0" xr:uid="{A9F07267-6371-4325-9DE8-4F5F583ABF6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37" authorId="0" shapeId="0" xr:uid="{877344EF-1DD8-4CA6-B54D-9699529538F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37" authorId="0" shapeId="0" xr:uid="{1C6E4509-A2BE-4218-BA96-1700F603AEB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38" authorId="0" shapeId="0" xr:uid="{319A24D0-7E54-4D86-8625-153BBB7C549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38" authorId="0" shapeId="0" xr:uid="{154173B5-820E-4298-BA2C-CABBF692BEB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39" authorId="0" shapeId="0" xr:uid="{E640DDC4-1B35-44E2-AD2C-76F1C938697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39" authorId="0" shapeId="0" xr:uid="{3EACB3A9-573D-48B7-9CBB-D9078B00920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40" authorId="0" shapeId="0" xr:uid="{6C477E32-B941-4ED9-AD82-D353807888D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40" authorId="0" shapeId="0" xr:uid="{CCD8BB4B-B138-4B1F-801C-6EE695D2B19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61" authorId="0" shapeId="0" xr:uid="{87405A9D-C308-4272-85A1-C8206800DB9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61" authorId="0" shapeId="0" xr:uid="{AC5826E7-540B-49A8-981E-83994051143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62" authorId="0" shapeId="0" xr:uid="{DCFEEAFD-E137-4ED9-84F3-9DC9F575BF1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62" authorId="0" shapeId="0" xr:uid="{F23A5A66-751D-4A57-B33E-41D2C766CE2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63" authorId="0" shapeId="0" xr:uid="{CD54BA63-175C-4ABD-B661-DB954AB3379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63" authorId="0" shapeId="0" xr:uid="{1ACF7130-5B55-4FB3-B1A0-E9442E2BB5E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64" authorId="0" shapeId="0" xr:uid="{050EDF84-408D-4062-8F03-3821A5572E1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64" authorId="0" shapeId="0" xr:uid="{925C6758-7073-42CF-8244-C074EA3F1F2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65" authorId="0" shapeId="0" xr:uid="{501166BE-2FDA-49CF-BBAB-DB4A78A926D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65" authorId="0" shapeId="0" xr:uid="{F075F72D-DFB2-4DA8-AAD2-713B74CE2966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66" authorId="0" shapeId="0" xr:uid="{21B8ACBD-FA25-4479-B591-5F869233CB5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66" authorId="0" shapeId="0" xr:uid="{BD33EC7D-3942-45D1-A772-C507A220F8C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67" authorId="0" shapeId="0" xr:uid="{F077423E-0469-4298-A8D9-59611ECB626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67" authorId="0" shapeId="0" xr:uid="{D1B3034F-2AB5-4637-8251-FD6D71A18D0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68" authorId="0" shapeId="0" xr:uid="{ED229F85-B079-420E-98B6-4F68471EC95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68" authorId="0" shapeId="0" xr:uid="{5283FB86-A59A-4C2A-9614-3F12842A5A0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69" authorId="0" shapeId="0" xr:uid="{FB9061D8-BC0A-4633-848D-3D655954721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69" authorId="0" shapeId="0" xr:uid="{482C48D7-7D74-4E42-8B0D-0C7C0F4DA8A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70" authorId="0" shapeId="0" xr:uid="{C04CA8B9-AE66-42F3-B4EB-70F9381FA4F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70" authorId="0" shapeId="0" xr:uid="{20535E80-722C-4FB9-908B-95083AACF5B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71" authorId="0" shapeId="0" xr:uid="{11BBFDF1-7BF7-4226-B8CD-8BB2C7C1014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71" authorId="0" shapeId="0" xr:uid="{4FF33C44-D9C1-4D7B-9410-3E4AEF4C4AB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72" authorId="0" shapeId="0" xr:uid="{732BF52D-1D1A-4F21-80B1-0E368045EE7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72" authorId="0" shapeId="0" xr:uid="{867A7C7D-DB01-478B-80F7-1E3267BC35D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73" authorId="0" shapeId="0" xr:uid="{75A9D9A5-13B9-4A8E-934C-6614FFF1889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73" authorId="0" shapeId="0" xr:uid="{ED11E2B1-BF0A-4274-B08E-0930DBE78CC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74" authorId="0" shapeId="0" xr:uid="{A65BAF6F-0C94-4D7E-B4B1-B177D310DDF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74" authorId="0" shapeId="0" xr:uid="{98CA316E-DC25-46F9-83BA-77CF75E511E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75" authorId="0" shapeId="0" xr:uid="{258FA433-9976-4BDF-B3EB-2100599EDCC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75" authorId="0" shapeId="0" xr:uid="{0408D35F-9225-4D6F-BA5D-5723A5BD653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76" authorId="0" shapeId="0" xr:uid="{789AC288-FB0C-4FB0-86D7-7DA4122942E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76" authorId="0" shapeId="0" xr:uid="{D9D1BC9A-58DC-4AF1-9C57-DF7D5C2E5A0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277" authorId="0" shapeId="0" xr:uid="{FC437067-3379-479A-B2ED-EE253661EAA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277" authorId="0" shapeId="0" xr:uid="{B6A0E62B-A5D3-4BBC-B54D-BA4A29D28DA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372" authorId="0" shapeId="0" xr:uid="{0B35822D-FEBA-4CFF-AA47-4558C3C627E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372" authorId="0" shapeId="0" xr:uid="{08D06D78-77A2-42EF-BBA3-BF4EDE388E3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373" authorId="0" shapeId="0" xr:uid="{41C32758-3B7C-4751-8D04-1CD914C62F36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373" authorId="0" shapeId="0" xr:uid="{FF0E1622-D7AD-485D-9BDC-5170F426E3C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374" authorId="0" shapeId="0" xr:uid="{15133B49-82EA-45C1-AB3F-B2A3C06A8A0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374" authorId="0" shapeId="0" xr:uid="{F436077B-AF54-4137-80EA-BEB9D5568B9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375" authorId="0" shapeId="0" xr:uid="{223C8F2F-5B7B-40FB-A3EE-45C7309165D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375" authorId="0" shapeId="0" xr:uid="{36E8FCEE-9668-4744-83DE-9DE458CFCB6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376" authorId="0" shapeId="0" xr:uid="{62751FE6-2D83-49C1-8930-4AE263F4CEB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376" authorId="0" shapeId="0" xr:uid="{F4B2F30C-E6C5-4DB1-97B5-C8B4C036374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377" authorId="0" shapeId="0" xr:uid="{026B052C-8876-46D5-9856-64B39C31709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377" authorId="0" shapeId="0" xr:uid="{F00937B3-66D3-41A5-A7BA-1C3A5C594B0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378" authorId="0" shapeId="0" xr:uid="{1E0BB47B-3690-4D25-92F3-3E870E1D2B3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378" authorId="0" shapeId="0" xr:uid="{8E063DDE-123A-4786-8463-30E9BA30CE8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379" authorId="0" shapeId="0" xr:uid="{E1F0D0F4-4D72-4A46-AB34-1AE3F5172C1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379" authorId="0" shapeId="0" xr:uid="{EA57ABDF-ACC7-437B-9DC3-6D0857FB8AD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380" authorId="0" shapeId="0" xr:uid="{2B9FAAA3-6EB7-4C77-BD87-7F3E9F2646B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380" authorId="0" shapeId="0" xr:uid="{981735ED-4F32-4380-ADEB-44D9733AF6F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381" authorId="0" shapeId="0" xr:uid="{9D03AE68-741E-4869-BE7C-D755AF870BC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381" authorId="0" shapeId="0" xr:uid="{6996C3D5-5094-4343-844D-58172078EA8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382" authorId="0" shapeId="0" xr:uid="{97753F56-A43C-4318-8C71-62CDD504CF3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382" authorId="0" shapeId="0" xr:uid="{F7CCB741-CCDD-4854-8616-06BC15E954C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383" authorId="0" shapeId="0" xr:uid="{472EA1A6-C174-422A-B754-8F6A4F2187F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383" authorId="0" shapeId="0" xr:uid="{3C8573DC-2D55-42C2-A692-4CB8A9CCEAE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384" authorId="0" shapeId="0" xr:uid="{31091D7D-AC50-444D-B97E-6398833EF90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384" authorId="0" shapeId="0" xr:uid="{7CB0FB57-EB1A-49C9-A39C-F4B20C23F63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09" authorId="0" shapeId="0" xr:uid="{89418778-09E3-4292-A2B3-53B5D6EE74B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09" authorId="0" shapeId="0" xr:uid="{EF018063-661C-4E9B-9C35-9FF42EEB131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10" authorId="0" shapeId="0" xr:uid="{E02A35B5-5088-44AE-8D76-24BFE8A258E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10" authorId="0" shapeId="0" xr:uid="{89A1B0BC-5CD5-473F-98AC-B9FCE6AB6F2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11" authorId="0" shapeId="0" xr:uid="{EDA74ABA-7D7B-4441-AF6F-531838363A2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11" authorId="0" shapeId="0" xr:uid="{CB6B5CA1-9FB7-4706-9B27-DE251D74D08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12" authorId="0" shapeId="0" xr:uid="{BD8EB824-0878-4879-B195-2C35613B9E8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12" authorId="0" shapeId="0" xr:uid="{38BEEAA4-B40A-42E7-A60D-CDE87B9643A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13" authorId="0" shapeId="0" xr:uid="{9380D3E1-4987-4C5F-8D01-006324515A3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13" authorId="0" shapeId="0" xr:uid="{5047085E-A4CC-45DA-9398-B93938DD505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14" authorId="0" shapeId="0" xr:uid="{34ADD200-9DE4-4BB4-9B8C-1DBA10554F8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14" authorId="0" shapeId="0" xr:uid="{984EB26B-528F-467F-BC54-C64D87B5F4D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15" authorId="0" shapeId="0" xr:uid="{26028E64-F516-45F7-991B-C980DCC162F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15" authorId="0" shapeId="0" xr:uid="{F476D055-635E-478D-9681-CCD224258EB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16" authorId="0" shapeId="0" xr:uid="{17237C02-1A74-4FF2-A940-713E3A11CEB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16" authorId="0" shapeId="0" xr:uid="{3F0D4E85-A43A-4B43-868F-456B4989498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17" authorId="0" shapeId="0" xr:uid="{8A265C57-A5DA-4FBB-A47C-A81E049CEC5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17" authorId="0" shapeId="0" xr:uid="{4CAAD318-4E9E-40F4-B96D-C2268E5EA08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18" authorId="0" shapeId="0" xr:uid="{6F4CE211-CC47-4F23-A524-E7DCE0D0F94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18" authorId="0" shapeId="0" xr:uid="{24DD0F47-690B-472B-8731-CAEDC7C8DE6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19" authorId="0" shapeId="0" xr:uid="{E3030EE3-1252-475F-8E60-1EAC828E710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19" authorId="0" shapeId="0" xr:uid="{9132A4DB-39C5-4D76-A40A-34E94123D6B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20" authorId="0" shapeId="0" xr:uid="{C1ED2E6F-5305-47CC-A6D2-D35A0B51012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20" authorId="0" shapeId="0" xr:uid="{8011C08F-E16D-437C-B977-64FC52A0FBC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21" authorId="0" shapeId="0" xr:uid="{0D178B22-B273-4284-A5C5-62E3F0EE9EE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21" authorId="0" shapeId="0" xr:uid="{1A17254B-7682-4FC2-BF16-8D04238F0ED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22" authorId="0" shapeId="0" xr:uid="{0ED3A39C-0018-4B67-A704-9D56F5786616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22" authorId="0" shapeId="0" xr:uid="{844A0723-D1B0-447C-BA64-EA065A385D4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23" authorId="0" shapeId="0" xr:uid="{0B2B63FF-1D32-4D74-B812-3527592B032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23" authorId="0" shapeId="0" xr:uid="{CCD4EAB1-B5E5-4BE6-BC66-91D88401029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24" authorId="0" shapeId="0" xr:uid="{3538B1A0-D04C-453B-B62A-3F3121A8FFA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24" authorId="0" shapeId="0" xr:uid="{3E92A47F-26E3-498C-B554-9A16FE04582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25" authorId="0" shapeId="0" xr:uid="{B23F92CF-814F-4811-9776-97CF09C59AB6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25" authorId="0" shapeId="0" xr:uid="{E872804A-4997-4006-91B6-EFD94ACCE57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46" authorId="0" shapeId="0" xr:uid="{C1576E25-1AB1-4105-9998-C1283873A2C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46" authorId="0" shapeId="0" xr:uid="{07683062-1EF5-4C68-827D-C5FC7192562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47" authorId="0" shapeId="0" xr:uid="{D70C41A7-FA5B-47F3-8C6F-3CC521E1B9A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47" authorId="0" shapeId="0" xr:uid="{3D9B7AC2-BBE1-4FE7-8546-1025ABC8CF2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48" authorId="0" shapeId="0" xr:uid="{715420FA-9EFE-4304-B72C-BA5EE80DD026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48" authorId="0" shapeId="0" xr:uid="{F444CE2C-10EC-4F33-B9BD-D5E35C81E48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49" authorId="0" shapeId="0" xr:uid="{DAD0C89D-CF6E-4303-A23C-46DA3142541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49" authorId="0" shapeId="0" xr:uid="{F23C9566-3F31-42C0-A246-F518FB51B18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50" authorId="0" shapeId="0" xr:uid="{293BE02D-D7A5-4DFA-B814-D6F89E5466F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50" authorId="0" shapeId="0" xr:uid="{0BBC6E6C-EAEF-47C2-A630-33915221A71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51" authorId="0" shapeId="0" xr:uid="{5F11D6C0-0421-40C3-9DB4-CDB1CCF1B22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51" authorId="0" shapeId="0" xr:uid="{55B5F4DB-5190-4D2E-965D-EDD02AE073C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52" authorId="0" shapeId="0" xr:uid="{2A708347-C21A-46C9-816B-D29F7A48953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52" authorId="0" shapeId="0" xr:uid="{33CDBCA7-933C-413B-A986-A3C5B1456EE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53" authorId="0" shapeId="0" xr:uid="{AB9CB4E1-94F7-4D8D-B792-38C853F7171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53" authorId="0" shapeId="0" xr:uid="{607997A1-0D4B-44B2-9BE5-94B906A4EC4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54" authorId="0" shapeId="0" xr:uid="{5F8A75A8-44A0-4AC3-AA96-330D6573BA36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54" authorId="0" shapeId="0" xr:uid="{7D85DE06-4A3A-42E5-A92E-B4E3F3A6DD5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55" authorId="0" shapeId="0" xr:uid="{8731FFEE-0682-49A8-8DCF-88636520E29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55" authorId="0" shapeId="0" xr:uid="{F1532400-E0D2-4EFA-AF06-3DF444BC707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56" authorId="0" shapeId="0" xr:uid="{C82D56F3-5532-4A30-B76A-5AEFD5B6592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56" authorId="0" shapeId="0" xr:uid="{0C6E74B3-E8AA-4DEE-897D-8321528B505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57" authorId="0" shapeId="0" xr:uid="{E53391CB-66A7-432C-BCBC-35F992E5E0E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57" authorId="0" shapeId="0" xr:uid="{C3DAA155-7F59-455B-85DC-3C4364E2AF6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58" authorId="0" shapeId="0" xr:uid="{1C9062AC-4900-40CA-93B3-BB758BD80BB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58" authorId="0" shapeId="0" xr:uid="{F60A1910-8402-435D-83EF-DA10007B619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59" authorId="0" shapeId="0" xr:uid="{78F75BFF-F9F2-4D69-9C34-BD7FEFAAE05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59" authorId="0" shapeId="0" xr:uid="{C6BCC317-97C4-42FC-BDDB-D1F81C03BC2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60" authorId="0" shapeId="0" xr:uid="{4A89EDBE-AA21-45BC-99A4-C13F7BAD31D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60" authorId="0" shapeId="0" xr:uid="{D4795B2C-C093-4143-9B4A-83EC863D89E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61" authorId="0" shapeId="0" xr:uid="{8831A5E0-8FD4-4B5A-A48E-B3DF532AF90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61" authorId="0" shapeId="0" xr:uid="{580C2E54-7699-4661-8714-7876634A35A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62" authorId="0" shapeId="0" xr:uid="{B97D04FB-C4C2-4F7E-9C4A-8F33D21BA09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62" authorId="0" shapeId="0" xr:uid="{3EEEB6DA-2472-41FD-808E-A6CC2D70016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83" authorId="0" shapeId="0" xr:uid="{0DE094FA-B8CD-4597-A3DD-BB0E8FFB633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83" authorId="0" shapeId="0" xr:uid="{1D5E9828-AD6D-4315-8375-EBBCE545A25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84" authorId="0" shapeId="0" xr:uid="{B9787539-5F26-4CFC-B353-83EE9882699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84" authorId="0" shapeId="0" xr:uid="{286CD94D-CCB3-4D25-B151-2972660A167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85" authorId="0" shapeId="0" xr:uid="{A7C0E44E-106F-44C2-B742-6BA3D931DA2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85" authorId="0" shapeId="0" xr:uid="{34F60C05-32D9-410F-8BB4-C576883C5D3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86" authorId="0" shapeId="0" xr:uid="{AEEAD5EC-41ED-457E-9DC6-5835047D29C6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86" authorId="0" shapeId="0" xr:uid="{D7BDA2D3-D644-4980-90CA-1636C676B20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87" authorId="0" shapeId="0" xr:uid="{6CC32416-CAE9-4853-B6A0-9E478913873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87" authorId="0" shapeId="0" xr:uid="{F0E56189-C3F0-400C-B5FB-97E11708361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88" authorId="0" shapeId="0" xr:uid="{5B10B20C-B02D-459F-AF2B-8FAEDF8ACE3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88" authorId="0" shapeId="0" xr:uid="{81B69DDF-944A-4C31-A03D-FF22FABA124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89" authorId="0" shapeId="0" xr:uid="{82B28137-F770-42D1-B9A5-BCCBD0D3A21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89" authorId="0" shapeId="0" xr:uid="{3D4FD4E0-FAB5-46F2-96EA-867A73A1D23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90" authorId="0" shapeId="0" xr:uid="{5188A788-23DB-404B-999A-E1F9EA8EC8B6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90" authorId="0" shapeId="0" xr:uid="{BC51DEB0-3D82-4F6D-A7B3-275DDFD2276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91" authorId="0" shapeId="0" xr:uid="{B7A95FF5-8ADC-4DCD-862F-5A58004F3A96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91" authorId="0" shapeId="0" xr:uid="{600A2B75-402B-41A7-B852-F21568A9DB0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92" authorId="0" shapeId="0" xr:uid="{985CEFD4-5F2E-41FC-852E-F97B75E1788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92" authorId="0" shapeId="0" xr:uid="{BECF169B-49F4-4D3A-93F8-E7EAB0CA208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93" authorId="0" shapeId="0" xr:uid="{609C1C84-8350-43E4-BDBB-749C306E3E6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93" authorId="0" shapeId="0" xr:uid="{85C9244D-7E5D-4762-A61F-CD282107122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94" authorId="0" shapeId="0" xr:uid="{AA2651D5-E84F-47C2-A969-A3F5ABCCF11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94" authorId="0" shapeId="0" xr:uid="{EBE56FBE-BFA6-44EE-A601-1BF463F9435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95" authorId="0" shapeId="0" xr:uid="{4C0ABA3D-F4EC-40F5-B894-54C5D1FCCA2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95" authorId="0" shapeId="0" xr:uid="{AF0F4B08-4733-4074-B7C6-C16999DFC47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96" authorId="0" shapeId="0" xr:uid="{959333E4-9D10-41EA-8465-0A9E658E1E1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96" authorId="0" shapeId="0" xr:uid="{F69EAE4B-CECC-4BA0-BD32-5FB32850031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97" authorId="0" shapeId="0" xr:uid="{197834AB-6B3B-44A3-A942-5D1E45CF451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97" authorId="0" shapeId="0" xr:uid="{604101E8-7907-4810-AD01-9090DEFDACC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98" authorId="0" shapeId="0" xr:uid="{7D09A2BB-7B74-4536-AFFF-A4AAA85056F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98" authorId="0" shapeId="0" xr:uid="{37C782D5-C9DC-4202-B268-E534B67FFB9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499" authorId="0" shapeId="0" xr:uid="{76226904-EA10-45F3-A655-2FC18FDE840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499" authorId="0" shapeId="0" xr:uid="{AC38D409-129C-4A36-A88F-7DC7FDF5D1B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20" authorId="0" shapeId="0" xr:uid="{F5160F9D-5454-4196-AB9F-56365EE6B2F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20" authorId="0" shapeId="0" xr:uid="{01B07970-DD5E-4670-8F27-143C8DC62C0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21" authorId="0" shapeId="0" xr:uid="{089B5195-7999-4FD7-A60A-D929CD20524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21" authorId="0" shapeId="0" xr:uid="{F3334E62-7EAC-4A60-B310-3279F6B4E47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22" authorId="0" shapeId="0" xr:uid="{8F40E306-C623-4623-8C7D-376EEC9FBA9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22" authorId="0" shapeId="0" xr:uid="{EE7C671E-6B6F-45E4-9B7D-7C408ACE564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23" authorId="0" shapeId="0" xr:uid="{99E1CC77-3147-458A-A567-2AB0BC02E01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23" authorId="0" shapeId="0" xr:uid="{B05E0D1C-A2E8-4BEE-A4A3-BD76690062E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24" authorId="0" shapeId="0" xr:uid="{7FD9C5DD-2D74-40DB-B86C-0C8E75AD5FD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24" authorId="0" shapeId="0" xr:uid="{AE0627B8-3FB6-4DD1-BB5F-31A8BE51ECB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25" authorId="0" shapeId="0" xr:uid="{F7FD1C38-5873-4A46-A340-E9D618259B8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25" authorId="0" shapeId="0" xr:uid="{B136709D-42B6-4924-9D69-29E1662F2E0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26" authorId="0" shapeId="0" xr:uid="{757DE3A5-1209-4E8F-9C31-504B6FAA2FA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26" authorId="0" shapeId="0" xr:uid="{D3D628F3-6136-464D-98E6-8953FDA32C4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27" authorId="0" shapeId="0" xr:uid="{461F5AA0-2616-4506-B12E-A43DBE60957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27" authorId="0" shapeId="0" xr:uid="{DB64D1D9-AA18-4E65-8A8B-6BD7D64878A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28" authorId="0" shapeId="0" xr:uid="{CEDB0CDD-CB39-407E-B8E4-71E7D2A3F14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28" authorId="0" shapeId="0" xr:uid="{E2F1506B-7D02-443D-9DBA-BD0D0F64B15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29" authorId="0" shapeId="0" xr:uid="{C8C091A0-0459-4C40-8EF4-9FE43C44D74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29" authorId="0" shapeId="0" xr:uid="{BCD64AC7-70B3-4472-A8BE-8DA1F3EF4A7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30" authorId="0" shapeId="0" xr:uid="{883CB0FC-AE5C-4810-AD0A-962E49650CC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30" authorId="0" shapeId="0" xr:uid="{B1FC1A3D-9E9F-498F-BD8A-3960D95C464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31" authorId="0" shapeId="0" xr:uid="{471F3DA7-EEF8-4B27-B492-20985CA407B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31" authorId="0" shapeId="0" xr:uid="{5604C7A0-BE60-4EDD-8DAB-B0047B09ACF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32" authorId="0" shapeId="0" xr:uid="{B4CE5F38-8108-45E1-B067-4F03B1C101F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32" authorId="0" shapeId="0" xr:uid="{00BDF9D9-2B82-4E1D-828C-3D4AE67B756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33" authorId="0" shapeId="0" xr:uid="{D54EB1F3-144E-4527-8361-6048D9BFD69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33" authorId="0" shapeId="0" xr:uid="{9470D545-C791-4471-B6FA-A813AD1F460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34" authorId="0" shapeId="0" xr:uid="{026AA3DE-40DB-4D68-9133-5B2B80989B9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34" authorId="0" shapeId="0" xr:uid="{92CA65F5-BF8B-48FF-8B17-1E87BD14A5B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35" authorId="0" shapeId="0" xr:uid="{2B726DEA-1BFB-48AB-84EA-B1E0A295394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35" authorId="0" shapeId="0" xr:uid="{4B1D6338-A0B8-4CFB-9382-168E0B7E6D5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36" authorId="0" shapeId="0" xr:uid="{94C4EFC9-2CA2-4BE3-9D75-C5CAC74D9E2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36" authorId="0" shapeId="0" xr:uid="{4515F854-75CF-4A4C-864C-541E7AA05E2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57" authorId="0" shapeId="0" xr:uid="{C25084D7-72F8-490D-A4C7-3D08BBBDA35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57" authorId="0" shapeId="0" xr:uid="{B841DA96-4F1D-49D8-8355-B584BD0068B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58" authorId="0" shapeId="0" xr:uid="{4C8E9EF5-23B1-4E8F-A382-4637E1AE147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58" authorId="0" shapeId="0" xr:uid="{03E46FA0-C2AE-4301-A4C4-B98046EEBEB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59" authorId="0" shapeId="0" xr:uid="{CBA4741E-A25B-4329-842B-03B8026C283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59" authorId="0" shapeId="0" xr:uid="{1D4CE126-D255-49C0-BF1B-2E098041913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60" authorId="0" shapeId="0" xr:uid="{DB19C990-56A4-45D2-AF6D-4648BD74DED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60" authorId="0" shapeId="0" xr:uid="{EA16D2A3-CFAD-4BF7-9D14-F69265C4555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61" authorId="0" shapeId="0" xr:uid="{AFB920BA-7132-4C4B-8C4F-73867047724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61" authorId="0" shapeId="0" xr:uid="{7E4D4A2F-D629-4D3D-B90F-94E939B7220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62" authorId="0" shapeId="0" xr:uid="{5CDADB2C-C869-4F04-B866-6D22FD1C2EA6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62" authorId="0" shapeId="0" xr:uid="{1FD1FD61-2B13-4055-8273-C6D393EA6FE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63" authorId="0" shapeId="0" xr:uid="{86693A22-4B33-477F-906E-47A2FB085E6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63" authorId="0" shapeId="0" xr:uid="{38B62DE8-37DD-4F88-A2C6-D367962D8BB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64" authorId="0" shapeId="0" xr:uid="{0F26793D-E3E2-4EFF-9DDC-421D5D7B095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64" authorId="0" shapeId="0" xr:uid="{7A94F1C4-7B6A-425B-8A80-0493B910C1D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65" authorId="0" shapeId="0" xr:uid="{2874B213-CDC8-4B00-A40A-818A486A1EF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65" authorId="0" shapeId="0" xr:uid="{5360E40E-FA85-43E2-9A6B-AF0DA46B09E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66" authorId="0" shapeId="0" xr:uid="{379D071F-393E-41CE-B621-0BA923B2FF70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66" authorId="0" shapeId="0" xr:uid="{E8E1D470-0347-4ED5-A67D-E75F8CBAAF2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67" authorId="0" shapeId="0" xr:uid="{22837231-9076-43C2-9DA7-1A2411F2F95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67" authorId="0" shapeId="0" xr:uid="{9D37D62F-4028-4B02-857E-56BF7CDB13E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68" authorId="0" shapeId="0" xr:uid="{85D18A1C-2E93-4311-B93D-5F03AFD034B6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68" authorId="0" shapeId="0" xr:uid="{6916777C-4B71-4F50-859F-F0867B60E69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69" authorId="0" shapeId="0" xr:uid="{0549D95B-7B3E-4A12-90CE-00CDC8F68E2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69" authorId="0" shapeId="0" xr:uid="{B7E6557C-7DCF-4BFE-A48F-07F2147C00C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70" authorId="0" shapeId="0" xr:uid="{3C203929-F551-4F8B-B97A-9AC1823259B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70" authorId="0" shapeId="0" xr:uid="{DD9EE216-8309-47AE-91B3-3BD1440E2EBA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71" authorId="0" shapeId="0" xr:uid="{A072E8E3-6C0E-432B-9027-1A69373B951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71" authorId="0" shapeId="0" xr:uid="{745729C5-8C1F-4E0D-BFD4-71B308B5DE6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94" authorId="0" shapeId="0" xr:uid="{B12B6CED-0456-4ADF-97B4-C858A008302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94" authorId="0" shapeId="0" xr:uid="{A6C49D5B-1FE7-4C4D-8A91-586E98B8A60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95" authorId="0" shapeId="0" xr:uid="{3572A4BA-A261-410E-BC03-A48167A89A4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95" authorId="0" shapeId="0" xr:uid="{B40127BF-0935-4480-AB3C-D599FEAB4EA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96" authorId="0" shapeId="0" xr:uid="{6A4849C1-1F89-4AB2-BF79-7BD0A4BB1EB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96" authorId="0" shapeId="0" xr:uid="{5DEC868C-8B66-4A53-9797-E31B0809302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97" authorId="0" shapeId="0" xr:uid="{FAA27FB1-5B2E-4C20-8AF8-4ED2AE48340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97" authorId="0" shapeId="0" xr:uid="{C029E542-7295-4E04-BE97-C6C1063AA0C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98" authorId="0" shapeId="0" xr:uid="{A3744D1D-C1FC-43A1-8C13-A7CA7FB61D8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98" authorId="0" shapeId="0" xr:uid="{B27E2410-8524-473C-883F-F34F7D9E1F3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599" authorId="0" shapeId="0" xr:uid="{FC8DF81C-2A9D-4172-8589-326A5183158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599" authorId="0" shapeId="0" xr:uid="{C0EC01FA-BC5B-4830-A171-0E4ED4A797A3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600" authorId="0" shapeId="0" xr:uid="{67E1EB39-29BF-44A2-A77F-FA3A936F6B0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600" authorId="0" shapeId="0" xr:uid="{F1C22EFF-2FCE-4CC6-B477-DD153CB87F6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601" authorId="0" shapeId="0" xr:uid="{FBDFFE7E-CAAA-4B42-8315-73FD5B9D3B8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601" authorId="0" shapeId="0" xr:uid="{C1B5959C-413D-4EBA-811F-918C295A165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602" authorId="0" shapeId="0" xr:uid="{47DEB770-2B44-4FA7-99B4-1A715225046B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602" authorId="0" shapeId="0" xr:uid="{BFAB81D5-B465-4C18-AEC4-D3A4032F61E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603" authorId="0" shapeId="0" xr:uid="{24D25621-9C68-4933-AA1B-6C432009B63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603" authorId="0" shapeId="0" xr:uid="{BB2A498C-91DD-4E68-B7AD-8F3C0A4A1FF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604" authorId="0" shapeId="0" xr:uid="{38B416C9-7995-4442-A464-2086AA83DDEF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604" authorId="0" shapeId="0" xr:uid="{36E1C536-A37C-4E18-B12D-BF49337AC5F6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605" authorId="0" shapeId="0" xr:uid="{672B1E64-99B1-4836-AC1F-5B812B2CB9D9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605" authorId="0" shapeId="0" xr:uid="{19C0AFB1-B195-4F65-96FA-C2D0E648F35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606" authorId="0" shapeId="0" xr:uid="{67DF75DB-48FB-4F2E-BB94-08E2A41F0AA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606" authorId="0" shapeId="0" xr:uid="{AB03D195-8950-4B14-8F39-AAC4E24D9758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607" authorId="0" shapeId="0" xr:uid="{BFC034A9-4E71-4BA3-9AF7-C465E58E236D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607" authorId="0" shapeId="0" xr:uid="{EE35DD8B-01EA-4F07-8A65-B820288085A4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608" authorId="0" shapeId="0" xr:uid="{087E69AA-CD44-4308-AE66-3A174D490965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608" authorId="0" shapeId="0" xr:uid="{77E6392F-0C85-4398-8BAD-140FF3D509AC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609" authorId="0" shapeId="0" xr:uid="{E9866134-3695-47FC-B97E-5B3E2BEC15EE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609" authorId="0" shapeId="0" xr:uid="{505688D6-C031-475A-A583-1DDAF061FC22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I610" authorId="0" shapeId="0" xr:uid="{FEAC5D6F-40FF-4FED-96C6-0601ED53CF61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  <comment ref="J610" authorId="0" shapeId="0" xr:uid="{8E41EF2C-02E0-4EA1-8213-F3D3BA7E5937}">
      <text>
        <r>
          <rPr>
            <sz val="9"/>
            <color indexed="81"/>
            <rFont val="Segoe UI"/>
            <family val="2"/>
          </rPr>
          <t xml:space="preserve">E: Estimated value </t>
        </r>
      </text>
    </comment>
  </commentList>
</comments>
</file>

<file path=xl/sharedStrings.xml><?xml version="1.0" encoding="utf-8"?>
<sst xmlns="http://schemas.openxmlformats.org/spreadsheetml/2006/main" count="655" uniqueCount="43">
  <si>
    <t>country</t>
  </si>
  <si>
    <t>id_country</t>
  </si>
  <si>
    <t>p5010</t>
  </si>
  <si>
    <t>p9010</t>
  </si>
  <si>
    <t>p9050</t>
  </si>
  <si>
    <t>Australia</t>
  </si>
  <si>
    <t>year</t>
  </si>
  <si>
    <t>Austria</t>
  </si>
  <si>
    <t>Canada</t>
  </si>
  <si>
    <t>Portugal</t>
  </si>
  <si>
    <t>Total</t>
  </si>
  <si>
    <t>Spend</t>
  </si>
  <si>
    <t>Tax</t>
  </si>
  <si>
    <t>Spend1</t>
  </si>
  <si>
    <t>Tax1</t>
  </si>
  <si>
    <t>Finland</t>
  </si>
  <si>
    <t>Japan</t>
  </si>
  <si>
    <t>United Kingdom</t>
  </si>
  <si>
    <t>United States</t>
  </si>
  <si>
    <t>France</t>
  </si>
  <si>
    <t>Belgium</t>
  </si>
  <si>
    <t>Denmark</t>
  </si>
  <si>
    <t>Germany</t>
  </si>
  <si>
    <t>Ireland</t>
  </si>
  <si>
    <t>Italy</t>
  </si>
  <si>
    <t>Netherlands</t>
  </si>
  <si>
    <t>Sweden</t>
  </si>
  <si>
    <t>share</t>
  </si>
  <si>
    <t>share100</t>
  </si>
  <si>
    <t>Spain</t>
  </si>
  <si>
    <t>trade</t>
  </si>
  <si>
    <t>pibpc</t>
  </si>
  <si>
    <t>pibgrowth</t>
  </si>
  <si>
    <t>unemp</t>
  </si>
  <si>
    <t>inflation</t>
  </si>
  <si>
    <t>gini</t>
  </si>
  <si>
    <t>gini2</t>
  </si>
  <si>
    <t>total1</t>
  </si>
  <si>
    <t>ginidisp</t>
  </si>
  <si>
    <t>ginimerc</t>
  </si>
  <si>
    <t>dif</t>
  </si>
  <si>
    <t>gini31</t>
  </si>
  <si>
    <t>giniwages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</si>
</sst>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000000"/>
    <numFmt numFmtId="165" formatCode="0.00000000"/>
    <numFmt numFmtId="166" formatCode="#,##0.00_ ;\-#,##0.00\ "/>
    <numFmt numFmtId="167" formatCode="#,##0_ ;\-#,##0\ "/>
    <numFmt numFmtId="168" formatCode="0.0000"/>
    <numFmt numFmtId="169" formatCode="#,##0.000_ ;\-#,##0.000\ "/>
    <numFmt numFmtId="170" formatCode="#,##0.0000_ ;\-#,##0.0000\ "/>
    <numFmt numFmtId="171" formatCode="0.00000"/>
  </numFmts>
  <fonts count="2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indexed="81"/>
      <name val="Segoe UI"/>
      <family val="2"/>
    </font>
    <font>
      <sz val="12"/>
      <color theme="1"/>
      <name val="Courier New"/>
      <family val="3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/>
      <top/>
      <bottom/>
      <diagonal/>
    </border>
  </borders>
  <cellStyleXfs count="48">
    <xf numFmtId="0" fontId="0" fillId="0" borderId="0"/>
    <xf numFmtId="0" fontId="2" fillId="0" borderId="0" applyFill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5" applyNumberFormat="0" applyAlignment="0" applyProtection="0"/>
    <xf numFmtId="0" fontId="14" fillId="6" borderId="6" applyNumberFormat="0" applyAlignment="0" applyProtection="0"/>
    <xf numFmtId="0" fontId="15" fillId="6" borderId="5" applyNumberFormat="0" applyAlignment="0" applyProtection="0"/>
    <xf numFmtId="0" fontId="16" fillId="0" borderId="7" applyNumberFormat="0" applyFill="0" applyAlignment="0" applyProtection="0"/>
    <xf numFmtId="0" fontId="17" fillId="7" borderId="8" applyNumberFormat="0" applyAlignment="0" applyProtection="0"/>
    <xf numFmtId="0" fontId="18" fillId="0" borderId="0" applyNumberFormat="0" applyFill="0" applyBorder="0" applyAlignment="0" applyProtection="0"/>
    <xf numFmtId="0" fontId="4" fillId="8" borderId="9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1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1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1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1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1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2" fillId="0" borderId="0"/>
  </cellStyleXfs>
  <cellXfs count="26">
    <xf numFmtId="0" fontId="0" fillId="0" borderId="0" xfId="0"/>
    <xf numFmtId="2" fontId="0" fillId="0" borderId="0" xfId="0" applyNumberFormat="1"/>
    <xf numFmtId="0" fontId="24" fillId="0" borderId="0" xfId="0" applyFont="1"/>
    <xf numFmtId="0" fontId="18" fillId="0" borderId="0" xfId="0" applyFont="1"/>
    <xf numFmtId="0" fontId="25" fillId="33" borderId="0" xfId="0" applyFont="1" applyFill="1"/>
    <xf numFmtId="0" fontId="0" fillId="33" borderId="0" xfId="0" applyFill="1"/>
    <xf numFmtId="0" fontId="24" fillId="33" borderId="0" xfId="0" applyFont="1" applyFill="1"/>
    <xf numFmtId="0" fontId="0" fillId="34" borderId="0" xfId="0" applyFill="1"/>
    <xf numFmtId="167" fontId="1" fillId="34" borderId="1" xfId="0" applyNumberFormat="1" applyFont="1" applyFill="1" applyBorder="1" applyAlignment="1">
      <alignment horizontal="right"/>
    </xf>
    <xf numFmtId="168" fontId="25" fillId="34" borderId="0" xfId="0" applyNumberFormat="1" applyFont="1" applyFill="1"/>
    <xf numFmtId="168" fontId="1" fillId="34" borderId="1" xfId="0" applyNumberFormat="1" applyFont="1" applyFill="1" applyBorder="1" applyAlignment="1">
      <alignment horizontal="right"/>
    </xf>
    <xf numFmtId="166" fontId="1" fillId="34" borderId="1" xfId="0" applyNumberFormat="1" applyFont="1" applyFill="1" applyBorder="1" applyAlignment="1">
      <alignment horizontal="right"/>
    </xf>
    <xf numFmtId="169" fontId="1" fillId="34" borderId="1" xfId="0" applyNumberFormat="1" applyFont="1" applyFill="1" applyBorder="1" applyAlignment="1">
      <alignment horizontal="right"/>
    </xf>
    <xf numFmtId="170" fontId="1" fillId="34" borderId="1" xfId="0" applyNumberFormat="1" applyFont="1" applyFill="1" applyBorder="1" applyAlignment="1">
      <alignment horizontal="right"/>
    </xf>
    <xf numFmtId="168" fontId="0" fillId="34" borderId="0" xfId="0" applyNumberFormat="1" applyFill="1"/>
    <xf numFmtId="0" fontId="25" fillId="34" borderId="0" xfId="0" applyFont="1" applyFill="1"/>
    <xf numFmtId="164" fontId="0" fillId="33" borderId="0" xfId="0" applyNumberFormat="1" applyFill="1"/>
    <xf numFmtId="164" fontId="1" fillId="33" borderId="1" xfId="0" applyNumberFormat="1" applyFont="1" applyFill="1" applyBorder="1" applyAlignment="1">
      <alignment horizontal="right"/>
    </xf>
    <xf numFmtId="0" fontId="2" fillId="33" borderId="0" xfId="1" applyFill="1" applyProtection="1"/>
    <xf numFmtId="166" fontId="1" fillId="33" borderId="1" xfId="47" applyNumberFormat="1" applyFont="1" applyFill="1" applyBorder="1" applyAlignment="1">
      <alignment horizontal="right"/>
    </xf>
    <xf numFmtId="165" fontId="0" fillId="33" borderId="0" xfId="0" applyNumberFormat="1" applyFill="1"/>
    <xf numFmtId="165" fontId="1" fillId="33" borderId="1" xfId="0" applyNumberFormat="1" applyFont="1" applyFill="1" applyBorder="1" applyAlignment="1">
      <alignment horizontal="right"/>
    </xf>
    <xf numFmtId="164" fontId="1" fillId="33" borderId="0" xfId="0" applyNumberFormat="1" applyFont="1" applyFill="1" applyAlignment="1">
      <alignment horizontal="right"/>
    </xf>
    <xf numFmtId="164" fontId="1" fillId="33" borderId="11" xfId="0" applyNumberFormat="1" applyFont="1" applyFill="1" applyBorder="1" applyAlignment="1">
      <alignment horizontal="right"/>
    </xf>
    <xf numFmtId="171" fontId="0" fillId="0" borderId="0" xfId="0" applyNumberFormat="1"/>
    <xf numFmtId="171" fontId="1" fillId="0" borderId="0" xfId="0" applyNumberFormat="1" applyFont="1" applyAlignment="1">
      <alignment horizontal="right"/>
    </xf>
  </cellXfs>
  <cellStyles count="48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Neutro" xfId="13" builtinId="28" customBuiltin="1"/>
    <cellStyle name="Normal" xfId="0" builtinId="0"/>
    <cellStyle name="Normal 2" xfId="1" xr:uid="{7CF6C3C6-511D-483D-8DF2-6A9646E161A8}"/>
    <cellStyle name="Normal 3" xfId="47" xr:uid="{A59BA3FE-B7B9-4C9B-AA71-39C11F13539D}"/>
    <cellStyle name="Normale 3" xfId="5" xr:uid="{10155955-A1DA-42AB-A2FA-61E0DD21B35E}"/>
    <cellStyle name="Normale 4" xfId="4" xr:uid="{5F29DF21-103E-4FB2-A912-E6B5F4B4BA0D}"/>
    <cellStyle name="Nota" xfId="20" builtinId="10" customBuiltin="1"/>
    <cellStyle name="Porcentagem 2" xfId="3" xr:uid="{E7880155-8B18-43C4-BD40-004B901CEC37}"/>
    <cellStyle name="Ruim" xfId="12" builtinId="27" customBuiltin="1"/>
    <cellStyle name="Saída" xfId="15" builtinId="21" customBuiltin="1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표준_Sheet1" xfId="2" xr:uid="{499B1340-A00A-4BE1-BC21-6958A50EBC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C9E9-9299-4ADF-981E-E98D3FE105EB}">
  <dimension ref="A1:Z630"/>
  <sheetViews>
    <sheetView tabSelected="1" workbookViewId="0">
      <pane xSplit="3" topLeftCell="M1" activePane="topRight" state="frozen"/>
      <selection pane="topRight" activeCell="Q2" sqref="Q2"/>
    </sheetView>
  </sheetViews>
  <sheetFormatPr defaultRowHeight="15" x14ac:dyDescent="0.25"/>
  <cols>
    <col min="1" max="1" width="13.85546875" customWidth="1"/>
    <col min="2" max="3" width="11" customWidth="1"/>
    <col min="4" max="6" width="11" style="5" customWidth="1"/>
    <col min="7" max="9" width="11" style="7" customWidth="1"/>
    <col min="10" max="10" width="11" style="14" customWidth="1"/>
    <col min="11" max="11" width="11" style="7" customWidth="1"/>
    <col min="12" max="13" width="11" style="5" customWidth="1"/>
    <col min="14" max="14" width="13.140625" style="16" customWidth="1"/>
    <col min="15" max="15" width="10.5703125" style="20" customWidth="1"/>
    <col min="16" max="16" width="11.42578125" style="16" customWidth="1"/>
    <col min="17" max="17" width="14.28515625" style="24" customWidth="1"/>
    <col min="18" max="18" width="11.7109375" style="1" customWidth="1"/>
    <col min="19" max="19" width="11.85546875" style="24" customWidth="1"/>
    <col min="21" max="21" width="12.7109375" bestFit="1" customWidth="1"/>
    <col min="26" max="26" width="9.140625" style="5"/>
  </cols>
  <sheetData>
    <row r="1" spans="1:26" x14ac:dyDescent="0.25">
      <c r="A1" t="s">
        <v>0</v>
      </c>
      <c r="B1" t="s">
        <v>1</v>
      </c>
      <c r="C1" t="s">
        <v>6</v>
      </c>
      <c r="D1" s="5" t="s">
        <v>38</v>
      </c>
      <c r="E1" s="5" t="s">
        <v>39</v>
      </c>
      <c r="F1" s="5" t="s">
        <v>40</v>
      </c>
      <c r="G1" s="7" t="s">
        <v>34</v>
      </c>
      <c r="H1" s="7" t="s">
        <v>33</v>
      </c>
      <c r="I1" s="7" t="s">
        <v>31</v>
      </c>
      <c r="J1" s="9" t="s">
        <v>32</v>
      </c>
      <c r="K1" s="15" t="s">
        <v>30</v>
      </c>
      <c r="L1" s="4" t="s">
        <v>27</v>
      </c>
      <c r="M1" s="5" t="s">
        <v>28</v>
      </c>
      <c r="N1" s="16" t="s">
        <v>2</v>
      </c>
      <c r="O1" s="20" t="s">
        <v>3</v>
      </c>
      <c r="P1" s="16" t="s">
        <v>4</v>
      </c>
      <c r="Q1" s="24" t="s">
        <v>37</v>
      </c>
      <c r="R1" s="1" t="s">
        <v>13</v>
      </c>
      <c r="S1" s="24" t="s">
        <v>14</v>
      </c>
      <c r="T1" s="1" t="s">
        <v>10</v>
      </c>
      <c r="U1" s="1" t="s">
        <v>11</v>
      </c>
      <c r="V1" s="1" t="s">
        <v>12</v>
      </c>
      <c r="W1" t="s">
        <v>36</v>
      </c>
      <c r="X1" s="3" t="s">
        <v>35</v>
      </c>
      <c r="Y1" s="3" t="s">
        <v>41</v>
      </c>
      <c r="Z1" s="4" t="s">
        <v>42</v>
      </c>
    </row>
    <row r="2" spans="1:26" x14ac:dyDescent="0.25">
      <c r="A2" t="s">
        <v>5</v>
      </c>
      <c r="B2">
        <v>1</v>
      </c>
      <c r="C2">
        <v>1978</v>
      </c>
      <c r="D2" s="5">
        <v>26.1</v>
      </c>
      <c r="E2" s="5">
        <v>39.1</v>
      </c>
      <c r="F2" s="5">
        <f t="shared" ref="F2:F65" si="0">E2-D2</f>
        <v>13</v>
      </c>
      <c r="G2" s="7">
        <v>1.08004926</v>
      </c>
      <c r="H2" s="7">
        <v>6.3491056003636706</v>
      </c>
      <c r="I2" s="8">
        <v>24658.458695000001</v>
      </c>
      <c r="J2" s="10">
        <v>4.050027</v>
      </c>
      <c r="K2" s="7">
        <v>28.177768470749491</v>
      </c>
      <c r="L2" s="5">
        <v>0.68266916275024403</v>
      </c>
      <c r="M2" s="5">
        <v>68.2669162750244</v>
      </c>
      <c r="N2" s="17">
        <v>1.6332116999999999</v>
      </c>
      <c r="O2" s="21">
        <v>2.6888686000000002</v>
      </c>
      <c r="P2" s="23">
        <v>1.6463687</v>
      </c>
      <c r="Q2" s="25">
        <f>R2+S2</f>
        <v>0</v>
      </c>
      <c r="R2">
        <v>0</v>
      </c>
      <c r="S2" s="24">
        <v>0</v>
      </c>
      <c r="T2">
        <f>Q2/100</f>
        <v>0</v>
      </c>
      <c r="U2">
        <f>R2/100</f>
        <v>0</v>
      </c>
      <c r="V2">
        <f>S2/100</f>
        <v>0</v>
      </c>
    </row>
    <row r="3" spans="1:26" x14ac:dyDescent="0.25">
      <c r="A3" t="s">
        <v>5</v>
      </c>
      <c r="B3">
        <v>1</v>
      </c>
      <c r="C3">
        <v>1979</v>
      </c>
      <c r="D3" s="5">
        <v>26.7</v>
      </c>
      <c r="E3" s="5">
        <v>39.4</v>
      </c>
      <c r="F3" s="5">
        <f t="shared" si="0"/>
        <v>12.7</v>
      </c>
      <c r="G3" s="7">
        <v>1.0912200599999999</v>
      </c>
      <c r="H3" s="7">
        <v>6.2649011701885318</v>
      </c>
      <c r="I3" s="8">
        <v>25108.330985000001</v>
      </c>
      <c r="J3" s="10">
        <v>3.0355889999999999</v>
      </c>
      <c r="K3" s="7">
        <v>29.624171585923488</v>
      </c>
      <c r="L3" s="5">
        <v>0.67145711183547996</v>
      </c>
      <c r="M3" s="5">
        <v>67.145711183548002</v>
      </c>
      <c r="N3" s="17">
        <v>1.6446352</v>
      </c>
      <c r="O3" s="21">
        <v>2.7459226999999999</v>
      </c>
      <c r="P3" s="23">
        <v>1.6696241999999999</v>
      </c>
      <c r="Q3" s="25">
        <f t="shared" ref="Q3:Q66" si="1">R3+S3</f>
        <v>0</v>
      </c>
      <c r="R3">
        <v>0</v>
      </c>
      <c r="S3" s="24">
        <v>0</v>
      </c>
      <c r="T3">
        <f>Q3/100</f>
        <v>0</v>
      </c>
      <c r="U3">
        <f>R3/100</f>
        <v>0</v>
      </c>
      <c r="V3">
        <f>S3/100</f>
        <v>0</v>
      </c>
    </row>
    <row r="4" spans="1:26" x14ac:dyDescent="0.25">
      <c r="A4" t="s">
        <v>5</v>
      </c>
      <c r="B4">
        <v>1</v>
      </c>
      <c r="C4">
        <v>1980</v>
      </c>
      <c r="D4" s="5">
        <v>27.3</v>
      </c>
      <c r="E4" s="5">
        <v>39.9</v>
      </c>
      <c r="F4" s="5">
        <f t="shared" si="0"/>
        <v>12.599999999999998</v>
      </c>
      <c r="G4" s="7">
        <v>1.1013584000000001</v>
      </c>
      <c r="H4" s="7">
        <v>6.1051526241091087</v>
      </c>
      <c r="I4" s="8">
        <v>25587.797221000001</v>
      </c>
      <c r="J4" s="10">
        <v>3.3394949999999999</v>
      </c>
      <c r="K4" s="7">
        <v>32.298994881547571</v>
      </c>
      <c r="L4" s="5">
        <v>0.67230403423309304</v>
      </c>
      <c r="M4" s="5">
        <v>67.230403423309298</v>
      </c>
      <c r="N4" s="17">
        <v>1.6690533000000001</v>
      </c>
      <c r="O4" s="21">
        <v>2.8297534</v>
      </c>
      <c r="P4" s="23">
        <v>1.6954241999999999</v>
      </c>
      <c r="Q4" s="25">
        <f t="shared" si="1"/>
        <v>0</v>
      </c>
      <c r="R4">
        <v>0</v>
      </c>
      <c r="S4" s="24">
        <v>0</v>
      </c>
      <c r="T4">
        <f>Q4/100</f>
        <v>0</v>
      </c>
      <c r="U4">
        <f>R4/100</f>
        <v>0</v>
      </c>
      <c r="V4">
        <f>S4/100</f>
        <v>0</v>
      </c>
    </row>
    <row r="5" spans="1:26" x14ac:dyDescent="0.25">
      <c r="A5" t="s">
        <v>5</v>
      </c>
      <c r="B5">
        <v>1</v>
      </c>
      <c r="C5">
        <v>1981</v>
      </c>
      <c r="D5" s="5">
        <v>27.9</v>
      </c>
      <c r="E5" s="5">
        <v>40.299999999999997</v>
      </c>
      <c r="F5" s="5">
        <f t="shared" si="0"/>
        <v>12.399999999999999</v>
      </c>
      <c r="G5" s="7">
        <v>1.0948766599999999</v>
      </c>
      <c r="H5" s="7">
        <v>5.7836243759858164</v>
      </c>
      <c r="I5" s="8">
        <v>26233.168711999999</v>
      </c>
      <c r="J5" s="10">
        <v>3.3248519999999999</v>
      </c>
      <c r="K5" s="7">
        <v>31.60406151341914</v>
      </c>
      <c r="L5" s="5">
        <v>0.67748272418975797</v>
      </c>
      <c r="M5" s="5">
        <v>67.748272418975802</v>
      </c>
      <c r="N5" s="17">
        <v>1.6763869</v>
      </c>
      <c r="O5" s="21">
        <v>2.8726885000000002</v>
      </c>
      <c r="P5" s="23">
        <v>1.713619</v>
      </c>
      <c r="Q5" s="25">
        <f>R5+S5</f>
        <v>0</v>
      </c>
      <c r="R5">
        <v>0</v>
      </c>
      <c r="S5" s="24">
        <v>0</v>
      </c>
      <c r="T5">
        <f>Q5/100</f>
        <v>0</v>
      </c>
      <c r="U5">
        <f>R5/100</f>
        <v>0</v>
      </c>
      <c r="V5">
        <f>S5/100</f>
        <v>0</v>
      </c>
      <c r="W5">
        <v>0.65576000000000001</v>
      </c>
    </row>
    <row r="6" spans="1:26" x14ac:dyDescent="0.25">
      <c r="A6" t="s">
        <v>5</v>
      </c>
      <c r="B6">
        <v>1</v>
      </c>
      <c r="C6">
        <v>1982</v>
      </c>
      <c r="D6" s="5">
        <v>27.4</v>
      </c>
      <c r="E6" s="5">
        <v>40.5</v>
      </c>
      <c r="F6" s="5">
        <f t="shared" si="0"/>
        <v>13.100000000000001</v>
      </c>
      <c r="G6" s="7">
        <v>1.1135181999999999</v>
      </c>
      <c r="H6" s="7">
        <v>7.162635421459064</v>
      </c>
      <c r="I6" s="8">
        <v>25208.880872000002</v>
      </c>
      <c r="J6" s="10">
        <v>-2.224542</v>
      </c>
      <c r="K6" s="7">
        <v>30.32537985624602</v>
      </c>
      <c r="L6" s="5">
        <v>0.67574071884155296</v>
      </c>
      <c r="M6" s="5">
        <v>67.574071884155302</v>
      </c>
      <c r="N6" s="17">
        <v>1.6745931999999999</v>
      </c>
      <c r="O6" s="21">
        <v>2.9305382</v>
      </c>
      <c r="P6" s="23">
        <v>1.75</v>
      </c>
      <c r="Q6" s="25">
        <f t="shared" si="1"/>
        <v>0</v>
      </c>
      <c r="R6">
        <v>0</v>
      </c>
      <c r="S6" s="24">
        <v>0</v>
      </c>
      <c r="T6">
        <f>Q6/100</f>
        <v>0</v>
      </c>
      <c r="U6">
        <f>R6/100</f>
        <v>0</v>
      </c>
      <c r="V6">
        <f>S6/100</f>
        <v>0</v>
      </c>
    </row>
    <row r="7" spans="1:26" x14ac:dyDescent="0.25">
      <c r="A7" t="s">
        <v>5</v>
      </c>
      <c r="B7">
        <v>1</v>
      </c>
      <c r="C7">
        <v>1983</v>
      </c>
      <c r="D7" s="5">
        <v>27.5</v>
      </c>
      <c r="E7" s="5">
        <v>41</v>
      </c>
      <c r="F7" s="5">
        <f t="shared" si="0"/>
        <v>13.5</v>
      </c>
      <c r="G7" s="7">
        <v>1.1003890999999999</v>
      </c>
      <c r="H7" s="7">
        <v>9.961378561693337</v>
      </c>
      <c r="I7" s="8">
        <v>26007.912026000002</v>
      </c>
      <c r="J7" s="10">
        <v>4.5917389999999996</v>
      </c>
      <c r="K7" s="7">
        <v>29.175861886911992</v>
      </c>
      <c r="L7" s="5">
        <v>0.64600694179534901</v>
      </c>
      <c r="M7" s="5">
        <v>64.600694179534898</v>
      </c>
      <c r="N7" s="17">
        <v>1.6971126000000001</v>
      </c>
      <c r="O7" s="21">
        <v>2.8951090000000002</v>
      </c>
      <c r="P7" s="23">
        <v>1.7059028000000001</v>
      </c>
      <c r="Q7" s="25">
        <f t="shared" si="1"/>
        <v>0</v>
      </c>
      <c r="R7">
        <v>0</v>
      </c>
      <c r="S7" s="24">
        <v>0</v>
      </c>
      <c r="T7">
        <f>Q7/100</f>
        <v>0</v>
      </c>
      <c r="U7">
        <f>R7/100</f>
        <v>0</v>
      </c>
      <c r="V7">
        <f>S7/100</f>
        <v>0</v>
      </c>
    </row>
    <row r="8" spans="1:26" x14ac:dyDescent="0.25">
      <c r="A8" t="s">
        <v>5</v>
      </c>
      <c r="B8">
        <v>1</v>
      </c>
      <c r="C8">
        <v>1984</v>
      </c>
      <c r="D8" s="5">
        <v>27.5</v>
      </c>
      <c r="E8" s="5">
        <v>41.4</v>
      </c>
      <c r="F8" s="5">
        <f t="shared" si="0"/>
        <v>13.899999999999999</v>
      </c>
      <c r="G8" s="7">
        <v>1.03960396</v>
      </c>
      <c r="H8" s="7">
        <v>8.9868043303861995</v>
      </c>
      <c r="I8" s="8">
        <v>27053.955261999999</v>
      </c>
      <c r="J8" s="10">
        <v>5.2782439999999999</v>
      </c>
      <c r="K8" s="7">
        <v>28.541210385428951</v>
      </c>
      <c r="L8" s="5">
        <v>0.64459490776062001</v>
      </c>
      <c r="M8" s="5">
        <v>64.459490776061998</v>
      </c>
      <c r="N8" s="17">
        <v>1.7116125</v>
      </c>
      <c r="O8" s="21">
        <v>2.8860758999999998</v>
      </c>
      <c r="P8" s="23">
        <v>1.6861736000000001</v>
      </c>
      <c r="Q8" s="25">
        <f t="shared" si="1"/>
        <v>0</v>
      </c>
      <c r="R8">
        <v>0</v>
      </c>
      <c r="S8" s="24">
        <v>0</v>
      </c>
      <c r="T8">
        <f>Q8/100</f>
        <v>0</v>
      </c>
      <c r="U8">
        <f>R8/100</f>
        <v>0</v>
      </c>
      <c r="V8">
        <f>S8/100</f>
        <v>0</v>
      </c>
    </row>
    <row r="9" spans="1:26" x14ac:dyDescent="0.25">
      <c r="A9" t="s">
        <v>5</v>
      </c>
      <c r="B9">
        <v>1</v>
      </c>
      <c r="C9">
        <v>1985</v>
      </c>
      <c r="D9" s="5">
        <v>28.4</v>
      </c>
      <c r="E9" s="5">
        <v>42.1</v>
      </c>
      <c r="F9" s="5">
        <f t="shared" si="0"/>
        <v>13.700000000000003</v>
      </c>
      <c r="G9" s="7">
        <v>1.06734694</v>
      </c>
      <c r="H9" s="7">
        <v>8.2581356666095473</v>
      </c>
      <c r="I9" s="8">
        <v>27754.832238999999</v>
      </c>
      <c r="J9" s="10">
        <v>3.9662739999999999</v>
      </c>
      <c r="K9" s="7">
        <v>32.489851035279329</v>
      </c>
      <c r="L9" s="5">
        <v>0.64178806543350198</v>
      </c>
      <c r="M9" s="5">
        <v>64.178806543350191</v>
      </c>
      <c r="N9" s="17">
        <v>1.6476991999999999</v>
      </c>
      <c r="O9" s="21">
        <v>2.7248887000000002</v>
      </c>
      <c r="P9" s="22">
        <v>1.6537538000000001</v>
      </c>
      <c r="Q9" s="25">
        <f t="shared" si="1"/>
        <v>0.26708999999999999</v>
      </c>
      <c r="R9">
        <v>0.26708999999999999</v>
      </c>
      <c r="S9" s="24">
        <v>0</v>
      </c>
      <c r="T9">
        <f>Q9/100</f>
        <v>2.6708999999999999E-3</v>
      </c>
      <c r="U9">
        <f>R9/100</f>
        <v>2.6708999999999999E-3</v>
      </c>
      <c r="V9">
        <f>S9/100</f>
        <v>0</v>
      </c>
      <c r="W9">
        <v>0.65159999999999996</v>
      </c>
      <c r="X9">
        <v>0.36</v>
      </c>
      <c r="Y9">
        <v>0.36</v>
      </c>
      <c r="Z9" s="5">
        <f>Y9*100</f>
        <v>36</v>
      </c>
    </row>
    <row r="10" spans="1:26" x14ac:dyDescent="0.25">
      <c r="A10" t="s">
        <v>5</v>
      </c>
      <c r="B10">
        <v>1</v>
      </c>
      <c r="C10">
        <v>1986</v>
      </c>
      <c r="D10" s="5">
        <v>28.5</v>
      </c>
      <c r="E10" s="5">
        <v>42.3</v>
      </c>
      <c r="F10" s="5">
        <f t="shared" si="0"/>
        <v>13.799999999999997</v>
      </c>
      <c r="G10" s="7">
        <v>1.0905035000000001</v>
      </c>
      <c r="H10" s="7">
        <v>8.0805713312699705</v>
      </c>
      <c r="I10" s="8">
        <v>28056.255693999999</v>
      </c>
      <c r="J10" s="10">
        <v>2.5592579999999998</v>
      </c>
      <c r="K10" s="7">
        <v>33.010173961711558</v>
      </c>
      <c r="L10" s="5">
        <v>0.63194215297698997</v>
      </c>
      <c r="M10" s="5">
        <v>63.194215297698996</v>
      </c>
      <c r="N10" s="17">
        <v>1.6792453000000001</v>
      </c>
      <c r="O10" s="21">
        <v>2.8669810999999998</v>
      </c>
      <c r="P10" s="22">
        <v>1.7073034</v>
      </c>
      <c r="Q10" s="25">
        <f t="shared" si="1"/>
        <v>0.80526999999999993</v>
      </c>
      <c r="R10">
        <v>0.63945999999999992</v>
      </c>
      <c r="S10" s="24">
        <v>0.16580999999999999</v>
      </c>
      <c r="T10">
        <f>Q10/100</f>
        <v>8.0526999999999994E-3</v>
      </c>
      <c r="U10">
        <f>R10/100</f>
        <v>6.3945999999999994E-3</v>
      </c>
      <c r="V10">
        <f>S10/100</f>
        <v>1.6580999999999998E-3</v>
      </c>
      <c r="Y10">
        <v>0.36049999999999999</v>
      </c>
      <c r="Z10" s="5">
        <f t="shared" ref="Z10:Z38" si="2">Y10*100</f>
        <v>36.049999999999997</v>
      </c>
    </row>
    <row r="11" spans="1:26" x14ac:dyDescent="0.25">
      <c r="A11" t="s">
        <v>5</v>
      </c>
      <c r="B11">
        <v>1</v>
      </c>
      <c r="C11">
        <v>1987</v>
      </c>
      <c r="D11" s="5">
        <v>29</v>
      </c>
      <c r="E11" s="5">
        <v>42.7</v>
      </c>
      <c r="F11" s="5">
        <f t="shared" si="0"/>
        <v>13.700000000000003</v>
      </c>
      <c r="G11" s="7">
        <v>1.0853302199999999</v>
      </c>
      <c r="H11" s="7">
        <v>8.1063953317496811</v>
      </c>
      <c r="I11" s="8">
        <v>29223.664491</v>
      </c>
      <c r="J11" s="10">
        <v>5.7573410000000003</v>
      </c>
      <c r="K11" s="7">
        <v>32.511506736417161</v>
      </c>
      <c r="L11" s="5">
        <v>0.61318987607955899</v>
      </c>
      <c r="M11" s="5">
        <v>61.318987607955897</v>
      </c>
      <c r="N11" s="17">
        <v>1.6725508</v>
      </c>
      <c r="O11" s="21">
        <v>2.8120034999999999</v>
      </c>
      <c r="P11" s="22">
        <v>1.6812665</v>
      </c>
      <c r="Q11" s="25">
        <f t="shared" si="1"/>
        <v>0.37251000000000001</v>
      </c>
      <c r="R11">
        <v>0.69047999999999998</v>
      </c>
      <c r="S11" s="24">
        <v>-0.31796999999999997</v>
      </c>
      <c r="T11">
        <f>Q11/100</f>
        <v>3.7251000000000003E-3</v>
      </c>
      <c r="U11">
        <f>R11/100</f>
        <v>6.9048E-3</v>
      </c>
      <c r="V11">
        <f>S11/100</f>
        <v>-3.1796999999999997E-3</v>
      </c>
      <c r="Y11">
        <v>0.36099999999999999</v>
      </c>
      <c r="Z11" s="5">
        <f t="shared" si="2"/>
        <v>36.1</v>
      </c>
    </row>
    <row r="12" spans="1:26" x14ac:dyDescent="0.25">
      <c r="A12" t="s">
        <v>5</v>
      </c>
      <c r="B12">
        <v>1</v>
      </c>
      <c r="C12">
        <v>1988</v>
      </c>
      <c r="D12" s="5">
        <v>29.4</v>
      </c>
      <c r="E12" s="5">
        <v>43.1</v>
      </c>
      <c r="F12" s="5">
        <f t="shared" si="0"/>
        <v>13.700000000000003</v>
      </c>
      <c r="G12" s="7">
        <v>1.0721594000000001</v>
      </c>
      <c r="H12" s="7">
        <v>7.2258087411801242</v>
      </c>
      <c r="I12" s="8">
        <v>29863.556949999998</v>
      </c>
      <c r="J12" s="10">
        <v>3.875426</v>
      </c>
      <c r="K12" s="7">
        <v>32.566164463752038</v>
      </c>
      <c r="L12" s="5">
        <v>0.609080970287323</v>
      </c>
      <c r="M12" s="5">
        <v>60.9080970287323</v>
      </c>
      <c r="N12" s="17">
        <v>1.6791666999999999</v>
      </c>
      <c r="O12" s="21">
        <v>2.8858332999999998</v>
      </c>
      <c r="P12" s="22">
        <v>1.7186104</v>
      </c>
      <c r="Q12" s="25">
        <f t="shared" si="1"/>
        <v>-0.16567999999999999</v>
      </c>
      <c r="R12">
        <v>0.31809999999999999</v>
      </c>
      <c r="S12" s="24">
        <v>-0.48377999999999999</v>
      </c>
      <c r="T12">
        <f>Q12/100</f>
        <v>-1.6567999999999999E-3</v>
      </c>
      <c r="U12">
        <f>R12/100</f>
        <v>3.1809999999999998E-3</v>
      </c>
      <c r="V12">
        <f>S12/100</f>
        <v>-4.8377999999999997E-3</v>
      </c>
      <c r="Y12">
        <v>0.36149999999999999</v>
      </c>
      <c r="Z12" s="5">
        <f t="shared" si="2"/>
        <v>36.15</v>
      </c>
    </row>
    <row r="13" spans="1:26" x14ac:dyDescent="0.25">
      <c r="A13" t="s">
        <v>5</v>
      </c>
      <c r="B13">
        <v>1</v>
      </c>
      <c r="C13">
        <v>1989</v>
      </c>
      <c r="D13" s="5">
        <v>29.8</v>
      </c>
      <c r="E13" s="5">
        <v>43.5</v>
      </c>
      <c r="F13" s="5">
        <f t="shared" si="0"/>
        <v>13.7</v>
      </c>
      <c r="G13" s="7">
        <v>1.0753390300000001</v>
      </c>
      <c r="H13" s="7">
        <v>6.1749886391769797</v>
      </c>
      <c r="I13" s="8">
        <v>30412.490166</v>
      </c>
      <c r="J13" s="10">
        <v>3.5764860000000001</v>
      </c>
      <c r="K13" s="7">
        <v>32.065004887585538</v>
      </c>
      <c r="L13" s="5">
        <v>0.61846667528152499</v>
      </c>
      <c r="M13" s="5">
        <v>61.846667528152501</v>
      </c>
      <c r="N13" s="17">
        <v>1.6886135</v>
      </c>
      <c r="O13" s="21">
        <v>2.8799380000000001</v>
      </c>
      <c r="P13" s="22">
        <v>1.7055046</v>
      </c>
      <c r="Q13" s="25">
        <f t="shared" si="1"/>
        <v>0</v>
      </c>
      <c r="R13">
        <v>0</v>
      </c>
      <c r="S13" s="24">
        <v>0</v>
      </c>
      <c r="T13">
        <f>Q13/100</f>
        <v>0</v>
      </c>
      <c r="U13">
        <f>R13/100</f>
        <v>0</v>
      </c>
      <c r="V13">
        <f>S13/100</f>
        <v>0</v>
      </c>
      <c r="W13">
        <v>0.64139000000000002</v>
      </c>
      <c r="X13">
        <v>0.36199999999999999</v>
      </c>
      <c r="Y13">
        <v>0.36199999999999999</v>
      </c>
      <c r="Z13" s="5">
        <f t="shared" si="2"/>
        <v>36.199999999999996</v>
      </c>
    </row>
    <row r="14" spans="1:26" x14ac:dyDescent="0.25">
      <c r="A14" t="s">
        <v>5</v>
      </c>
      <c r="B14">
        <v>1</v>
      </c>
      <c r="C14">
        <v>1990</v>
      </c>
      <c r="D14" s="5">
        <v>29.2</v>
      </c>
      <c r="E14" s="5">
        <v>43.6</v>
      </c>
      <c r="F14" s="5">
        <f t="shared" si="0"/>
        <v>14.400000000000002</v>
      </c>
      <c r="G14" s="7">
        <v>1.0733302199999999</v>
      </c>
      <c r="H14" s="7">
        <v>6.925963855072097</v>
      </c>
      <c r="I14" s="8">
        <v>29850.916105</v>
      </c>
      <c r="J14" s="10">
        <v>-0.38307200000000002</v>
      </c>
      <c r="K14" s="7">
        <v>32.152317226247071</v>
      </c>
      <c r="L14" s="5">
        <v>0.62600868940353405</v>
      </c>
      <c r="M14" s="5">
        <v>62.600868940353408</v>
      </c>
      <c r="N14" s="17">
        <v>1.6866593999999999</v>
      </c>
      <c r="O14" s="21">
        <v>2.8047982999999999</v>
      </c>
      <c r="P14" s="22">
        <v>1.6629309999999999</v>
      </c>
      <c r="Q14" s="25">
        <f t="shared" si="1"/>
        <v>0</v>
      </c>
      <c r="R14">
        <v>0</v>
      </c>
      <c r="S14" s="24">
        <v>0</v>
      </c>
      <c r="T14">
        <f>Q14/100</f>
        <v>0</v>
      </c>
      <c r="U14">
        <f>R14/100</f>
        <v>0</v>
      </c>
      <c r="V14">
        <f>S14/100</f>
        <v>0</v>
      </c>
      <c r="Y14">
        <v>0.35649999999999998</v>
      </c>
      <c r="Z14" s="5">
        <f t="shared" si="2"/>
        <v>35.65</v>
      </c>
    </row>
    <row r="15" spans="1:26" x14ac:dyDescent="0.25">
      <c r="A15" t="s">
        <v>5</v>
      </c>
      <c r="B15">
        <v>1</v>
      </c>
      <c r="C15">
        <v>1991</v>
      </c>
      <c r="D15" s="5">
        <v>29.2</v>
      </c>
      <c r="E15" s="5">
        <v>44</v>
      </c>
      <c r="F15" s="5">
        <f t="shared" si="0"/>
        <v>14.8</v>
      </c>
      <c r="G15" s="7">
        <v>1.0317667500000001</v>
      </c>
      <c r="H15" s="7">
        <v>9.5792308900131022</v>
      </c>
      <c r="I15" s="8">
        <v>29599.1839</v>
      </c>
      <c r="J15" s="10">
        <v>0.42862</v>
      </c>
      <c r="K15" s="7">
        <v>32.188568401791301</v>
      </c>
      <c r="L15" s="5">
        <v>0.61731112003326405</v>
      </c>
      <c r="M15" s="5">
        <v>61.731112003326402</v>
      </c>
      <c r="N15" s="17">
        <v>1.6660929</v>
      </c>
      <c r="O15" s="21">
        <v>2.8478485</v>
      </c>
      <c r="P15" s="22">
        <v>1.7092974999999999</v>
      </c>
      <c r="Q15" s="25">
        <f t="shared" si="1"/>
        <v>0</v>
      </c>
      <c r="R15">
        <v>0</v>
      </c>
      <c r="S15" s="24">
        <v>0</v>
      </c>
      <c r="T15">
        <f>Q15/100</f>
        <v>0</v>
      </c>
      <c r="U15">
        <f>R15/100</f>
        <v>0</v>
      </c>
      <c r="V15">
        <f>S15/100</f>
        <v>0</v>
      </c>
      <c r="Y15">
        <v>0.35099999999999998</v>
      </c>
      <c r="Z15" s="5">
        <f t="shared" si="2"/>
        <v>35.099999999999994</v>
      </c>
    </row>
    <row r="16" spans="1:26" x14ac:dyDescent="0.25">
      <c r="A16" t="s">
        <v>5</v>
      </c>
      <c r="B16">
        <v>1</v>
      </c>
      <c r="C16">
        <v>1992</v>
      </c>
      <c r="D16" s="5">
        <v>29.1</v>
      </c>
      <c r="E16" s="5">
        <v>44.3</v>
      </c>
      <c r="F16" s="5">
        <f t="shared" si="0"/>
        <v>15.199999999999996</v>
      </c>
      <c r="G16" s="7">
        <v>1.0101223100000001</v>
      </c>
      <c r="H16" s="7">
        <v>10.728767402644525</v>
      </c>
      <c r="I16" s="8">
        <v>30454.304711000001</v>
      </c>
      <c r="J16" s="10">
        <v>4.0474249999999996</v>
      </c>
      <c r="K16" s="7">
        <v>33.043854198904292</v>
      </c>
      <c r="L16" s="5">
        <v>0.60727578401565596</v>
      </c>
      <c r="M16" s="5">
        <v>60.727578401565594</v>
      </c>
      <c r="N16" s="17">
        <v>1.6437008</v>
      </c>
      <c r="O16" s="21">
        <v>2.8333333000000001</v>
      </c>
      <c r="P16" s="22">
        <v>1.7237525</v>
      </c>
      <c r="Q16" s="25">
        <f t="shared" si="1"/>
        <v>0</v>
      </c>
      <c r="R16">
        <v>0</v>
      </c>
      <c r="S16" s="24">
        <v>0</v>
      </c>
      <c r="T16">
        <f>Q16/100</f>
        <v>0</v>
      </c>
      <c r="U16">
        <f>R16/100</f>
        <v>0</v>
      </c>
      <c r="V16">
        <f>S16/100</f>
        <v>0</v>
      </c>
      <c r="Y16">
        <v>0.34549999999999997</v>
      </c>
      <c r="Z16" s="5">
        <f t="shared" si="2"/>
        <v>34.549999999999997</v>
      </c>
    </row>
    <row r="17" spans="1:26" x14ac:dyDescent="0.25">
      <c r="A17" t="s">
        <v>5</v>
      </c>
      <c r="B17">
        <v>1</v>
      </c>
      <c r="C17">
        <v>1993</v>
      </c>
      <c r="D17" s="5">
        <v>29</v>
      </c>
      <c r="E17" s="5">
        <v>44.7</v>
      </c>
      <c r="F17" s="5">
        <f t="shared" si="0"/>
        <v>15.700000000000003</v>
      </c>
      <c r="G17" s="7">
        <v>1.0175365300000001</v>
      </c>
      <c r="H17" s="7">
        <v>10.873772772567728</v>
      </c>
      <c r="I17" s="8">
        <v>31386.180165000002</v>
      </c>
      <c r="J17" s="10">
        <v>3.9809230000000002</v>
      </c>
      <c r="K17" s="7">
        <v>35.399056805519599</v>
      </c>
      <c r="L17" s="5">
        <v>0.60133963823318504</v>
      </c>
      <c r="M17" s="5">
        <v>60.133963823318503</v>
      </c>
      <c r="N17" s="17">
        <v>1.6172839999999999</v>
      </c>
      <c r="O17" s="21">
        <v>2.7787036999999999</v>
      </c>
      <c r="P17" s="22">
        <v>1.7181298</v>
      </c>
      <c r="Q17" s="25">
        <f t="shared" si="1"/>
        <v>0</v>
      </c>
      <c r="R17">
        <v>0</v>
      </c>
      <c r="S17" s="24">
        <v>0</v>
      </c>
      <c r="T17">
        <f>Q17/100</f>
        <v>0</v>
      </c>
      <c r="U17">
        <f>R17/100</f>
        <v>0</v>
      </c>
      <c r="V17">
        <f>S17/100</f>
        <v>0</v>
      </c>
      <c r="Y17">
        <v>0.34</v>
      </c>
      <c r="Z17" s="5">
        <f t="shared" si="2"/>
        <v>34</v>
      </c>
    </row>
    <row r="18" spans="1:26" x14ac:dyDescent="0.25">
      <c r="A18" t="s">
        <v>5</v>
      </c>
      <c r="B18">
        <v>1</v>
      </c>
      <c r="C18">
        <v>1994</v>
      </c>
      <c r="D18" s="5">
        <v>29</v>
      </c>
      <c r="E18" s="5">
        <v>45</v>
      </c>
      <c r="F18" s="5">
        <f t="shared" si="0"/>
        <v>16</v>
      </c>
      <c r="G18" s="7">
        <v>1.01969635</v>
      </c>
      <c r="H18" s="7">
        <v>9.7186784862862261</v>
      </c>
      <c r="I18" s="8">
        <v>32293.601197</v>
      </c>
      <c r="J18" s="10">
        <v>3.8871060000000002</v>
      </c>
      <c r="K18" s="7">
        <v>36.458496295708933</v>
      </c>
      <c r="L18" s="5">
        <v>0.60407537221908603</v>
      </c>
      <c r="M18" s="5">
        <v>60.407537221908605</v>
      </c>
      <c r="N18" s="17">
        <v>1.6379570999999999</v>
      </c>
      <c r="O18" s="21">
        <v>2.8649138999999999</v>
      </c>
      <c r="P18" s="22">
        <v>1.7490775000000001</v>
      </c>
      <c r="Q18" s="25">
        <f t="shared" si="1"/>
        <v>0.26617000000000002</v>
      </c>
      <c r="R18">
        <v>0</v>
      </c>
      <c r="S18" s="24">
        <v>0.26617000000000002</v>
      </c>
      <c r="T18">
        <f>Q18/100</f>
        <v>2.6617000000000004E-3</v>
      </c>
      <c r="U18">
        <f>R18/100</f>
        <v>0</v>
      </c>
      <c r="V18">
        <f>S18/100</f>
        <v>2.6617000000000004E-3</v>
      </c>
      <c r="Y18">
        <v>0.33450000000000002</v>
      </c>
      <c r="Z18" s="5">
        <f t="shared" si="2"/>
        <v>33.450000000000003</v>
      </c>
    </row>
    <row r="19" spans="1:26" x14ac:dyDescent="0.25">
      <c r="A19" t="s">
        <v>5</v>
      </c>
      <c r="B19">
        <v>1</v>
      </c>
      <c r="C19">
        <v>1995</v>
      </c>
      <c r="D19" s="5">
        <v>30.1</v>
      </c>
      <c r="E19" s="5">
        <v>46.1</v>
      </c>
      <c r="F19" s="5">
        <f t="shared" si="0"/>
        <v>16</v>
      </c>
      <c r="G19" s="7">
        <v>1.04627767</v>
      </c>
      <c r="H19" s="7">
        <v>8.4692555180139415</v>
      </c>
      <c r="I19" s="8">
        <v>33167.676381999998</v>
      </c>
      <c r="J19" s="10">
        <v>3.8568410000000002</v>
      </c>
      <c r="K19" s="7">
        <v>37.706630739070448</v>
      </c>
      <c r="L19" s="5">
        <v>0.60752350091934204</v>
      </c>
      <c r="M19" s="5">
        <v>60.752350091934204</v>
      </c>
      <c r="N19" s="17">
        <v>1.6474074000000001</v>
      </c>
      <c r="O19" s="21">
        <v>2.9125926</v>
      </c>
      <c r="P19" s="22">
        <v>1.7679856</v>
      </c>
      <c r="Q19" s="25">
        <f t="shared" si="1"/>
        <v>0.75734999999999997</v>
      </c>
      <c r="R19">
        <v>0</v>
      </c>
      <c r="S19" s="24">
        <v>0.75734999999999997</v>
      </c>
      <c r="T19">
        <f>Q19/100</f>
        <v>7.5734999999999995E-3</v>
      </c>
      <c r="U19">
        <f>R19/100</f>
        <v>0</v>
      </c>
      <c r="V19">
        <f>S19/100</f>
        <v>7.5734999999999995E-3</v>
      </c>
      <c r="W19">
        <v>0.66747999999999996</v>
      </c>
      <c r="X19">
        <v>0.32900000000000001</v>
      </c>
      <c r="Y19">
        <v>0.32900000000000001</v>
      </c>
      <c r="Z19" s="5">
        <f t="shared" si="2"/>
        <v>32.9</v>
      </c>
    </row>
    <row r="20" spans="1:26" x14ac:dyDescent="0.25">
      <c r="A20" t="s">
        <v>5</v>
      </c>
      <c r="B20">
        <v>1</v>
      </c>
      <c r="C20">
        <v>1996</v>
      </c>
      <c r="D20" s="5">
        <v>30.4</v>
      </c>
      <c r="E20" s="5">
        <v>46.4</v>
      </c>
      <c r="F20" s="5">
        <f t="shared" si="0"/>
        <v>16</v>
      </c>
      <c r="G20" s="7">
        <v>1.02615385</v>
      </c>
      <c r="H20" s="7">
        <v>8.5062137552077122</v>
      </c>
      <c r="I20" s="8">
        <v>34049.613418000001</v>
      </c>
      <c r="J20" s="10">
        <v>3.9128349999999998</v>
      </c>
      <c r="K20" s="7">
        <v>38.236017000423502</v>
      </c>
      <c r="L20" s="5">
        <v>0.61795842647552501</v>
      </c>
      <c r="M20" s="5">
        <v>61.795842647552504</v>
      </c>
      <c r="N20" s="17">
        <v>1.6349530000000001</v>
      </c>
      <c r="O20" s="21">
        <v>2.9311475499999999</v>
      </c>
      <c r="P20" s="22">
        <v>1.7929927999999999</v>
      </c>
      <c r="Q20" s="25">
        <f t="shared" si="1"/>
        <v>0.88356999999999997</v>
      </c>
      <c r="R20">
        <v>0.31011</v>
      </c>
      <c r="S20" s="24">
        <v>0.57345999999999997</v>
      </c>
      <c r="T20">
        <f>Q20/100</f>
        <v>8.8357000000000002E-3</v>
      </c>
      <c r="U20">
        <f>R20/100</f>
        <v>3.1010999999999999E-3</v>
      </c>
      <c r="V20">
        <f>S20/100</f>
        <v>5.7345999999999994E-3</v>
      </c>
      <c r="Y20">
        <v>0.332166666666666</v>
      </c>
      <c r="Z20" s="5">
        <f t="shared" si="2"/>
        <v>33.216666666666598</v>
      </c>
    </row>
    <row r="21" spans="1:26" x14ac:dyDescent="0.25">
      <c r="A21" t="s">
        <v>5</v>
      </c>
      <c r="B21">
        <v>1</v>
      </c>
      <c r="C21">
        <v>1997</v>
      </c>
      <c r="D21" s="5">
        <v>30.7</v>
      </c>
      <c r="E21" s="5">
        <v>46.7</v>
      </c>
      <c r="F21" s="5">
        <f t="shared" si="0"/>
        <v>16.000000000000004</v>
      </c>
      <c r="G21" s="7">
        <v>1.002248875</v>
      </c>
      <c r="H21" s="7">
        <v>8.3622291964352797</v>
      </c>
      <c r="I21" s="8">
        <v>35237.228497999997</v>
      </c>
      <c r="J21" s="10">
        <v>4.6133569999999997</v>
      </c>
      <c r="K21" s="7">
        <v>37.983356927786602</v>
      </c>
      <c r="L21" s="5">
        <v>0.61184757947921797</v>
      </c>
      <c r="M21" s="5">
        <v>61.184757947921796</v>
      </c>
      <c r="N21" s="17">
        <v>1.6224985999999999</v>
      </c>
      <c r="O21" s="21">
        <v>2.9497024999999999</v>
      </c>
      <c r="P21" s="22">
        <v>1.8180000000000001</v>
      </c>
      <c r="Q21" s="25">
        <f t="shared" si="1"/>
        <v>0.73287000000000002</v>
      </c>
      <c r="R21">
        <v>0.53686</v>
      </c>
      <c r="S21" s="24">
        <v>0.19601000000000002</v>
      </c>
      <c r="T21">
        <f>Q21/100</f>
        <v>7.3287000000000005E-3</v>
      </c>
      <c r="U21">
        <f>R21/100</f>
        <v>5.3686000000000003E-3</v>
      </c>
      <c r="V21">
        <f>S21/100</f>
        <v>1.9601000000000002E-3</v>
      </c>
      <c r="Y21">
        <v>0.33533333333333298</v>
      </c>
      <c r="Z21" s="5">
        <f t="shared" si="2"/>
        <v>33.533333333333296</v>
      </c>
    </row>
    <row r="22" spans="1:26" x14ac:dyDescent="0.25">
      <c r="A22" t="s">
        <v>5</v>
      </c>
      <c r="B22">
        <v>1</v>
      </c>
      <c r="C22">
        <v>1998</v>
      </c>
      <c r="D22" s="5">
        <v>31</v>
      </c>
      <c r="E22" s="5">
        <v>47</v>
      </c>
      <c r="F22" s="5">
        <f t="shared" si="0"/>
        <v>16</v>
      </c>
      <c r="G22" s="7">
        <v>1.0086013460000001</v>
      </c>
      <c r="H22" s="7">
        <v>7.6755970572559491</v>
      </c>
      <c r="I22" s="8">
        <v>36616.796527999999</v>
      </c>
      <c r="J22" s="10">
        <v>4.9563249999999996</v>
      </c>
      <c r="K22" s="7">
        <v>39.994059943654328</v>
      </c>
      <c r="L22" s="5">
        <v>0.61336934566497803</v>
      </c>
      <c r="M22" s="5">
        <v>61.336934566497803</v>
      </c>
      <c r="N22" s="17">
        <v>1.5846431000000001</v>
      </c>
      <c r="O22" s="21">
        <v>2.9098171000000002</v>
      </c>
      <c r="P22" s="22">
        <v>1.8362601999999999</v>
      </c>
      <c r="Q22" s="25">
        <f t="shared" si="1"/>
        <v>0.41482000000000002</v>
      </c>
      <c r="R22">
        <v>0.18376999999999999</v>
      </c>
      <c r="S22" s="24">
        <v>0.23105000000000003</v>
      </c>
      <c r="T22">
        <f>Q22/100</f>
        <v>4.1482000000000003E-3</v>
      </c>
      <c r="U22">
        <f>R22/100</f>
        <v>1.8376999999999998E-3</v>
      </c>
      <c r="V22">
        <f>S22/100</f>
        <v>2.3105000000000005E-3</v>
      </c>
      <c r="Y22">
        <v>0.33850000000000002</v>
      </c>
      <c r="Z22" s="5">
        <f t="shared" si="2"/>
        <v>33.85</v>
      </c>
    </row>
    <row r="23" spans="1:26" x14ac:dyDescent="0.25">
      <c r="A23" t="s">
        <v>5</v>
      </c>
      <c r="B23">
        <v>1</v>
      </c>
      <c r="C23">
        <v>1999</v>
      </c>
      <c r="D23" s="5">
        <v>31.3</v>
      </c>
      <c r="E23" s="5">
        <v>47.3</v>
      </c>
      <c r="F23" s="5">
        <f t="shared" si="0"/>
        <v>15.999999999999996</v>
      </c>
      <c r="G23" s="7">
        <v>1.0148312900000001</v>
      </c>
      <c r="H23" s="7">
        <v>6.8723337221968332</v>
      </c>
      <c r="I23" s="8">
        <v>37631.303011000004</v>
      </c>
      <c r="J23" s="10">
        <v>3.9011710000000002</v>
      </c>
      <c r="K23" s="7">
        <v>39.056113088762579</v>
      </c>
      <c r="L23" s="5">
        <v>0.60503202676773105</v>
      </c>
      <c r="M23" s="5">
        <v>60.503202676773107</v>
      </c>
      <c r="N23" s="17">
        <v>1.63</v>
      </c>
      <c r="O23" s="21">
        <v>3</v>
      </c>
      <c r="P23" s="22">
        <v>1.8404908</v>
      </c>
      <c r="Q23" s="25">
        <f t="shared" si="1"/>
        <v>5.4469999999999998E-2</v>
      </c>
      <c r="R23">
        <v>-5.8439999999999999E-2</v>
      </c>
      <c r="S23" s="24">
        <v>0.11291</v>
      </c>
      <c r="T23">
        <f>Q23/100</f>
        <v>5.4469999999999996E-4</v>
      </c>
      <c r="U23">
        <f>R23/100</f>
        <v>-5.844E-4</v>
      </c>
      <c r="V23">
        <f>S23/100</f>
        <v>1.1291000000000001E-3</v>
      </c>
      <c r="Y23">
        <v>0.34166666666666601</v>
      </c>
      <c r="Z23" s="5">
        <f t="shared" si="2"/>
        <v>34.1666666666666</v>
      </c>
    </row>
    <row r="24" spans="1:26" x14ac:dyDescent="0.25">
      <c r="A24" t="s">
        <v>5</v>
      </c>
      <c r="B24">
        <v>1</v>
      </c>
      <c r="C24">
        <v>2000</v>
      </c>
      <c r="D24" s="5">
        <v>31.6</v>
      </c>
      <c r="E24" s="5">
        <v>47.7</v>
      </c>
      <c r="F24" s="5">
        <f t="shared" si="0"/>
        <v>16.100000000000001</v>
      </c>
      <c r="G24" s="7">
        <v>1.04457435</v>
      </c>
      <c r="H24" s="7">
        <v>6.2826191458301874</v>
      </c>
      <c r="I24" s="8">
        <v>37962.624820999998</v>
      </c>
      <c r="J24" s="10">
        <v>2.041417</v>
      </c>
      <c r="K24" s="7">
        <v>40.966986830977412</v>
      </c>
      <c r="L24" s="5">
        <v>0.60654604434966997</v>
      </c>
      <c r="M24" s="5">
        <v>60.654604434966998</v>
      </c>
      <c r="N24" s="17">
        <v>1.6722892</v>
      </c>
      <c r="O24" s="21">
        <v>3.0144578000000002</v>
      </c>
      <c r="P24" s="22">
        <v>1.8025937000000001</v>
      </c>
      <c r="Q24" s="25">
        <f t="shared" si="1"/>
        <v>0</v>
      </c>
      <c r="R24">
        <v>0</v>
      </c>
      <c r="S24" s="24">
        <v>0</v>
      </c>
      <c r="T24">
        <f>Q24/100</f>
        <v>0</v>
      </c>
      <c r="U24">
        <f>R24/100</f>
        <v>0</v>
      </c>
      <c r="V24">
        <f>S24/100</f>
        <v>0</v>
      </c>
      <c r="Y24">
        <v>0.34483333333333299</v>
      </c>
      <c r="Z24" s="5">
        <f t="shared" si="2"/>
        <v>34.483333333333299</v>
      </c>
    </row>
    <row r="25" spans="1:26" x14ac:dyDescent="0.25">
      <c r="A25" t="s">
        <v>5</v>
      </c>
      <c r="B25">
        <v>1</v>
      </c>
      <c r="C25">
        <v>2001</v>
      </c>
      <c r="D25" s="5">
        <v>31.7</v>
      </c>
      <c r="E25" s="5">
        <v>48.1</v>
      </c>
      <c r="F25" s="5">
        <f t="shared" si="0"/>
        <v>16.400000000000002</v>
      </c>
      <c r="G25" s="7">
        <v>1.0440713500000001</v>
      </c>
      <c r="H25" s="7">
        <v>6.7423140634538132</v>
      </c>
      <c r="I25" s="8">
        <v>38975.040715000003</v>
      </c>
      <c r="J25" s="10">
        <v>3.9935900000000002</v>
      </c>
      <c r="K25" s="7">
        <v>44.250356488083114</v>
      </c>
      <c r="L25" s="5">
        <v>0.60815471410751298</v>
      </c>
      <c r="M25" s="5">
        <v>60.8154714107513</v>
      </c>
      <c r="N25" s="17">
        <v>1.6496519999999999</v>
      </c>
      <c r="O25" s="21">
        <v>3.1160093</v>
      </c>
      <c r="P25" s="22">
        <v>1.8888889</v>
      </c>
      <c r="Q25" s="25">
        <f t="shared" si="1"/>
        <v>0</v>
      </c>
      <c r="R25">
        <v>0</v>
      </c>
      <c r="S25" s="24">
        <v>0</v>
      </c>
      <c r="T25">
        <f>Q25/100</f>
        <v>0</v>
      </c>
      <c r="U25">
        <f>R25/100</f>
        <v>0</v>
      </c>
      <c r="V25">
        <f>S25/100</f>
        <v>0</v>
      </c>
      <c r="W25">
        <v>0.66342000000000001</v>
      </c>
      <c r="X25">
        <v>0.34799999999999998</v>
      </c>
      <c r="Y25">
        <v>0.34799999999999998</v>
      </c>
      <c r="Z25" s="5">
        <f t="shared" si="2"/>
        <v>34.799999999999997</v>
      </c>
    </row>
    <row r="26" spans="1:26" x14ac:dyDescent="0.25">
      <c r="A26" t="s">
        <v>5</v>
      </c>
      <c r="B26">
        <v>1</v>
      </c>
      <c r="C26">
        <v>2002</v>
      </c>
      <c r="D26" s="5">
        <v>31.7</v>
      </c>
      <c r="E26" s="5">
        <v>48.1</v>
      </c>
      <c r="F26" s="5">
        <f t="shared" si="0"/>
        <v>16.400000000000002</v>
      </c>
      <c r="G26" s="7">
        <v>1.02981575</v>
      </c>
      <c r="H26" s="7">
        <v>6.367617175898971</v>
      </c>
      <c r="I26" s="8">
        <v>39733.167292999999</v>
      </c>
      <c r="J26" s="10">
        <v>3.1113979999999999</v>
      </c>
      <c r="K26" s="7">
        <v>41.471679845086335</v>
      </c>
      <c r="L26" s="5">
        <v>0.60081726312637296</v>
      </c>
      <c r="M26" s="5">
        <v>60.081726312637294</v>
      </c>
      <c r="N26" s="17">
        <v>1.6666666999999999</v>
      </c>
      <c r="O26" s="21">
        <v>3.0666666999999999</v>
      </c>
      <c r="P26" s="22">
        <v>1.84</v>
      </c>
      <c r="Q26" s="25">
        <f t="shared" si="1"/>
        <v>0</v>
      </c>
      <c r="R26">
        <v>0</v>
      </c>
      <c r="S26" s="24">
        <v>0</v>
      </c>
      <c r="T26">
        <f>Q26/100</f>
        <v>0</v>
      </c>
      <c r="U26">
        <f>R26/100</f>
        <v>0</v>
      </c>
      <c r="V26">
        <f>S26/100</f>
        <v>0</v>
      </c>
      <c r="Y26">
        <v>0.34749999999999998</v>
      </c>
      <c r="Z26" s="5">
        <f t="shared" si="2"/>
        <v>34.75</v>
      </c>
    </row>
    <row r="27" spans="1:26" x14ac:dyDescent="0.25">
      <c r="A27" t="s">
        <v>5</v>
      </c>
      <c r="B27">
        <v>1</v>
      </c>
      <c r="C27">
        <v>2003</v>
      </c>
      <c r="D27" s="5">
        <v>31.7</v>
      </c>
      <c r="E27" s="5">
        <v>48.1</v>
      </c>
      <c r="F27" s="5">
        <f t="shared" si="0"/>
        <v>16.400000000000002</v>
      </c>
      <c r="G27" s="7">
        <v>1.02732596</v>
      </c>
      <c r="H27" s="7">
        <v>5.9286973060363275</v>
      </c>
      <c r="I27" s="8">
        <v>40935.075283999999</v>
      </c>
      <c r="J27" s="10">
        <v>4.2166329999999999</v>
      </c>
      <c r="K27" s="7">
        <v>40.222301400035384</v>
      </c>
      <c r="L27" s="5">
        <v>0.60151207447052002</v>
      </c>
      <c r="M27" s="5">
        <v>60.151207447052002</v>
      </c>
      <c r="N27" s="17">
        <v>1.6361702</v>
      </c>
      <c r="O27" s="21">
        <v>3.0680850999999998</v>
      </c>
      <c r="P27" s="22">
        <v>1.8751625000000001</v>
      </c>
      <c r="Q27" s="25">
        <f t="shared" si="1"/>
        <v>0</v>
      </c>
      <c r="R27">
        <v>0</v>
      </c>
      <c r="S27" s="24">
        <v>0</v>
      </c>
      <c r="T27">
        <f>Q27/100</f>
        <v>0</v>
      </c>
      <c r="U27">
        <f>R27/100</f>
        <v>0</v>
      </c>
      <c r="V27">
        <f>S27/100</f>
        <v>0</v>
      </c>
      <c r="W27">
        <v>0.65739999999999998</v>
      </c>
      <c r="X27">
        <v>0.34699999999999998</v>
      </c>
      <c r="Y27">
        <v>0.34699999999999998</v>
      </c>
      <c r="Z27" s="5">
        <f t="shared" si="2"/>
        <v>34.699999999999996</v>
      </c>
    </row>
    <row r="28" spans="1:26" x14ac:dyDescent="0.25">
      <c r="A28" t="s">
        <v>5</v>
      </c>
      <c r="B28">
        <v>1</v>
      </c>
      <c r="C28">
        <v>2004</v>
      </c>
      <c r="D28" s="5">
        <v>31.7</v>
      </c>
      <c r="E28" s="5">
        <v>48.1</v>
      </c>
      <c r="F28" s="5">
        <f t="shared" si="0"/>
        <v>16.400000000000002</v>
      </c>
      <c r="G28" s="7">
        <v>1.0234325500000001</v>
      </c>
      <c r="H28" s="7">
        <v>5.3947271267819472</v>
      </c>
      <c r="I28" s="8">
        <v>41776.958780000001</v>
      </c>
      <c r="J28" s="10">
        <v>3.153753</v>
      </c>
      <c r="K28" s="7">
        <v>37.029712141914267</v>
      </c>
      <c r="L28" s="5">
        <v>0.60324400663375899</v>
      </c>
      <c r="M28" s="5">
        <v>60.324400663375897</v>
      </c>
      <c r="N28" s="17">
        <v>1.6632016999999999</v>
      </c>
      <c r="O28" s="21">
        <v>3.1185030999999999</v>
      </c>
      <c r="P28" s="22">
        <v>1.875</v>
      </c>
      <c r="Q28" s="25">
        <f t="shared" si="1"/>
        <v>0</v>
      </c>
      <c r="R28">
        <v>0</v>
      </c>
      <c r="S28" s="24">
        <v>0</v>
      </c>
      <c r="T28">
        <f>Q28/100</f>
        <v>0</v>
      </c>
      <c r="U28">
        <f>R28/100</f>
        <v>0</v>
      </c>
      <c r="V28">
        <f>S28/100</f>
        <v>0</v>
      </c>
      <c r="W28">
        <v>0.72928999999999999</v>
      </c>
      <c r="X28">
        <v>0.36499999999999999</v>
      </c>
      <c r="Y28">
        <v>0.36499999999999999</v>
      </c>
      <c r="Z28" s="5">
        <f t="shared" si="2"/>
        <v>36.5</v>
      </c>
    </row>
    <row r="29" spans="1:26" x14ac:dyDescent="0.25">
      <c r="A29" t="s">
        <v>5</v>
      </c>
      <c r="B29">
        <v>1</v>
      </c>
      <c r="C29">
        <v>2005</v>
      </c>
      <c r="D29" s="5">
        <v>32</v>
      </c>
      <c r="E29" s="5">
        <v>48.1</v>
      </c>
      <c r="F29" s="5">
        <f t="shared" si="0"/>
        <v>16.100000000000001</v>
      </c>
      <c r="G29" s="7">
        <v>1.0269183200000001</v>
      </c>
      <c r="H29" s="7">
        <v>5.0324820121066267</v>
      </c>
      <c r="I29" s="8">
        <v>42402.641441</v>
      </c>
      <c r="J29" s="10">
        <v>2.7406359999999999</v>
      </c>
      <c r="K29" s="7">
        <v>39.182594066984819</v>
      </c>
      <c r="L29" s="5">
        <v>0.59303462505340598</v>
      </c>
      <c r="M29" s="5">
        <v>59.303462505340597</v>
      </c>
      <c r="N29" s="17">
        <v>1.6859999999999999</v>
      </c>
      <c r="O29" s="21">
        <v>3.12</v>
      </c>
      <c r="P29" s="22">
        <v>1.8505338</v>
      </c>
      <c r="Q29" s="25">
        <f t="shared" si="1"/>
        <v>0</v>
      </c>
      <c r="R29">
        <v>0</v>
      </c>
      <c r="S29" s="24">
        <v>0</v>
      </c>
      <c r="T29">
        <f>Q29/100</f>
        <v>0</v>
      </c>
      <c r="U29">
        <f>R29/100</f>
        <v>0</v>
      </c>
      <c r="V29">
        <f>S29/100</f>
        <v>0</v>
      </c>
      <c r="Y29">
        <v>0.3705</v>
      </c>
      <c r="Z29" s="5">
        <f t="shared" si="2"/>
        <v>37.049999999999997</v>
      </c>
    </row>
    <row r="30" spans="1:26" x14ac:dyDescent="0.25">
      <c r="A30" t="s">
        <v>5</v>
      </c>
      <c r="B30">
        <v>1</v>
      </c>
      <c r="C30">
        <v>2006</v>
      </c>
      <c r="D30" s="5">
        <v>32.4</v>
      </c>
      <c r="E30" s="5">
        <v>48.1</v>
      </c>
      <c r="F30" s="5">
        <f t="shared" si="0"/>
        <v>15.700000000000003</v>
      </c>
      <c r="G30" s="7">
        <v>1.03555288</v>
      </c>
      <c r="H30" s="7">
        <v>4.7822899502667244</v>
      </c>
      <c r="I30" s="8">
        <v>43414.579645999998</v>
      </c>
      <c r="J30" s="10">
        <v>3.777917</v>
      </c>
      <c r="K30" s="7">
        <v>41.587780207106988</v>
      </c>
      <c r="L30" s="5">
        <v>0.58805024623870905</v>
      </c>
      <c r="M30" s="5">
        <v>58.805024623870906</v>
      </c>
      <c r="N30" s="17">
        <v>1.7142857</v>
      </c>
      <c r="O30" s="21">
        <v>3.2590476000000002</v>
      </c>
      <c r="P30" s="22">
        <v>1.9011111000000001</v>
      </c>
      <c r="Q30" s="25">
        <f t="shared" si="1"/>
        <v>0</v>
      </c>
      <c r="R30">
        <v>0</v>
      </c>
      <c r="S30" s="24">
        <v>0</v>
      </c>
      <c r="T30">
        <f>Q30/100</f>
        <v>0</v>
      </c>
      <c r="U30">
        <f>R30/100</f>
        <v>0</v>
      </c>
      <c r="V30">
        <f>S30/100</f>
        <v>0</v>
      </c>
      <c r="Y30">
        <v>0.376</v>
      </c>
      <c r="Z30" s="5">
        <f t="shared" si="2"/>
        <v>37.6</v>
      </c>
    </row>
    <row r="31" spans="1:26" x14ac:dyDescent="0.25">
      <c r="A31" t="s">
        <v>5</v>
      </c>
      <c r="B31">
        <v>1</v>
      </c>
      <c r="C31">
        <v>2007</v>
      </c>
      <c r="D31" s="5">
        <v>32.700000000000003</v>
      </c>
      <c r="E31" s="5">
        <v>48.1</v>
      </c>
      <c r="F31" s="5">
        <f t="shared" si="0"/>
        <v>15.399999999999999</v>
      </c>
      <c r="G31" s="7">
        <v>1.0232761100000001</v>
      </c>
      <c r="H31" s="7">
        <v>4.3769524591546105</v>
      </c>
      <c r="I31" s="8">
        <v>44150.704999000001</v>
      </c>
      <c r="J31" s="10">
        <v>3.5682700000000001</v>
      </c>
      <c r="K31" s="7">
        <v>42.036545607580372</v>
      </c>
      <c r="L31" s="5">
        <v>0.59333646297454801</v>
      </c>
      <c r="M31" s="5">
        <v>59.333646297454798</v>
      </c>
      <c r="N31" s="17">
        <v>1.7090909000000001</v>
      </c>
      <c r="O31" s="21">
        <v>3.3109090999999999</v>
      </c>
      <c r="P31" s="22">
        <v>1.9372339999999999</v>
      </c>
      <c r="Q31" s="25">
        <f t="shared" si="1"/>
        <v>0</v>
      </c>
      <c r="R31">
        <v>0</v>
      </c>
      <c r="S31" s="24">
        <v>0</v>
      </c>
      <c r="T31">
        <f>Q31/100</f>
        <v>0</v>
      </c>
      <c r="U31">
        <f>R31/100</f>
        <v>0</v>
      </c>
      <c r="V31">
        <f>S31/100</f>
        <v>0</v>
      </c>
      <c r="Y31">
        <v>0.38150000000000001</v>
      </c>
      <c r="Z31" s="5">
        <f t="shared" si="2"/>
        <v>38.15</v>
      </c>
    </row>
    <row r="32" spans="1:26" x14ac:dyDescent="0.25">
      <c r="A32" t="s">
        <v>5</v>
      </c>
      <c r="B32">
        <v>1</v>
      </c>
      <c r="C32">
        <v>2008</v>
      </c>
      <c r="D32" s="5">
        <v>33</v>
      </c>
      <c r="E32" s="5">
        <v>48.2</v>
      </c>
      <c r="F32" s="5">
        <f t="shared" si="0"/>
        <v>15.200000000000003</v>
      </c>
      <c r="G32" s="7">
        <v>1.04350298</v>
      </c>
      <c r="H32" s="7">
        <v>4.2341599713715334</v>
      </c>
      <c r="I32" s="8">
        <v>44084.170066999999</v>
      </c>
      <c r="J32" s="10">
        <v>1.870487</v>
      </c>
      <c r="K32" s="7">
        <v>42.864072770878757</v>
      </c>
      <c r="L32" s="5">
        <v>0.569114029407501</v>
      </c>
      <c r="M32" s="5">
        <v>56.911402940750101</v>
      </c>
      <c r="N32" s="17">
        <v>1.7361111</v>
      </c>
      <c r="O32" s="21">
        <v>3.3385416999999999</v>
      </c>
      <c r="P32" s="22">
        <v>1.923</v>
      </c>
      <c r="Q32" s="25">
        <f t="shared" si="1"/>
        <v>0</v>
      </c>
      <c r="R32">
        <v>0</v>
      </c>
      <c r="S32" s="24">
        <v>0</v>
      </c>
      <c r="T32">
        <f>Q32/100</f>
        <v>0</v>
      </c>
      <c r="U32">
        <f>R32/100</f>
        <v>0</v>
      </c>
      <c r="V32">
        <f>S32/100</f>
        <v>0</v>
      </c>
      <c r="W32">
        <v>0.71692999999999996</v>
      </c>
      <c r="X32">
        <v>0.38700000000000001</v>
      </c>
      <c r="Y32">
        <v>0.38700000000000001</v>
      </c>
      <c r="Z32" s="5">
        <f t="shared" si="2"/>
        <v>38.700000000000003</v>
      </c>
    </row>
    <row r="33" spans="1:26" x14ac:dyDescent="0.25">
      <c r="A33" t="s">
        <v>5</v>
      </c>
      <c r="B33">
        <v>1</v>
      </c>
      <c r="C33">
        <v>2009</v>
      </c>
      <c r="D33" s="5">
        <v>33</v>
      </c>
      <c r="E33" s="5">
        <v>48.1</v>
      </c>
      <c r="F33" s="5">
        <f t="shared" si="0"/>
        <v>15.100000000000001</v>
      </c>
      <c r="G33" s="7">
        <v>1.0177111700000001</v>
      </c>
      <c r="H33" s="7">
        <v>5.56066517389716</v>
      </c>
      <c r="I33" s="8">
        <v>44137.777599000001</v>
      </c>
      <c r="J33" s="10">
        <v>2.206566</v>
      </c>
      <c r="K33" s="7">
        <v>45.746756618971013</v>
      </c>
      <c r="L33" s="5">
        <v>0.57710313796997104</v>
      </c>
      <c r="M33" s="5">
        <v>57.710313796997106</v>
      </c>
      <c r="N33" s="17">
        <v>1.6666666999999999</v>
      </c>
      <c r="O33" s="21">
        <v>3.3333333000000001</v>
      </c>
      <c r="P33" s="22">
        <v>2</v>
      </c>
      <c r="Q33" s="25">
        <f t="shared" si="1"/>
        <v>0</v>
      </c>
      <c r="R33">
        <v>0</v>
      </c>
      <c r="S33" s="24">
        <v>0</v>
      </c>
      <c r="T33">
        <f>Q33/100</f>
        <v>0</v>
      </c>
      <c r="U33">
        <f>R33/100</f>
        <v>0</v>
      </c>
      <c r="V33">
        <f>S33/100</f>
        <v>0</v>
      </c>
      <c r="Y33">
        <v>0.38400000000000001</v>
      </c>
      <c r="Z33" s="5">
        <f t="shared" si="2"/>
        <v>38.4</v>
      </c>
    </row>
    <row r="34" spans="1:26" x14ac:dyDescent="0.25">
      <c r="A34" t="s">
        <v>5</v>
      </c>
      <c r="B34">
        <v>1</v>
      </c>
      <c r="C34">
        <v>2010</v>
      </c>
      <c r="D34" s="5">
        <v>32.9</v>
      </c>
      <c r="E34" s="5">
        <v>48.1</v>
      </c>
      <c r="F34" s="5">
        <f t="shared" si="0"/>
        <v>15.200000000000003</v>
      </c>
      <c r="G34" s="7">
        <v>1.0291834</v>
      </c>
      <c r="H34" s="7">
        <v>5.2113253693812389</v>
      </c>
      <c r="I34" s="8">
        <v>44495.643201999999</v>
      </c>
      <c r="J34" s="10">
        <v>2.3913850000000001</v>
      </c>
      <c r="K34" s="7">
        <v>40.520330639861292</v>
      </c>
      <c r="L34" s="5">
        <v>0.57495474815368697</v>
      </c>
      <c r="M34" s="5">
        <v>57.495474815368695</v>
      </c>
      <c r="N34" s="17">
        <v>1.7128874000000001</v>
      </c>
      <c r="O34" s="21">
        <v>3.3115823999999998</v>
      </c>
      <c r="P34" s="22">
        <v>1.9333332999999999</v>
      </c>
      <c r="Q34" s="25">
        <f t="shared" si="1"/>
        <v>0</v>
      </c>
      <c r="R34">
        <v>0</v>
      </c>
      <c r="S34" s="24">
        <v>0</v>
      </c>
      <c r="T34">
        <f>Q34/100</f>
        <v>0</v>
      </c>
      <c r="U34">
        <f>R34/100</f>
        <v>0</v>
      </c>
      <c r="V34">
        <f>S34/100</f>
        <v>0</v>
      </c>
      <c r="W34">
        <v>0.71848000000000001</v>
      </c>
      <c r="X34">
        <v>0.38100000000000001</v>
      </c>
      <c r="Y34">
        <v>0.38100000000000001</v>
      </c>
      <c r="Z34" s="5">
        <f t="shared" si="2"/>
        <v>38.1</v>
      </c>
    </row>
    <row r="35" spans="1:26" ht="13.5" customHeight="1" x14ac:dyDescent="0.25">
      <c r="A35" t="s">
        <v>5</v>
      </c>
      <c r="B35">
        <v>1</v>
      </c>
      <c r="C35">
        <v>2011</v>
      </c>
      <c r="D35" s="5">
        <v>32.700000000000003</v>
      </c>
      <c r="E35" s="5">
        <v>48</v>
      </c>
      <c r="F35" s="5">
        <f t="shared" si="0"/>
        <v>15.299999999999997</v>
      </c>
      <c r="G35" s="7">
        <v>1.0330385</v>
      </c>
      <c r="H35" s="7">
        <v>5.0810920848816243</v>
      </c>
      <c r="I35" s="8">
        <v>45594.057304000002</v>
      </c>
      <c r="J35" s="10">
        <v>3.9020079999999999</v>
      </c>
      <c r="K35" s="7">
        <v>41.84255109443508</v>
      </c>
      <c r="L35" s="5">
        <v>0.57542127370834395</v>
      </c>
      <c r="M35" s="5">
        <v>57.542127370834393</v>
      </c>
      <c r="N35" s="17">
        <v>1.7001546000000001</v>
      </c>
      <c r="O35" s="21">
        <v>3.3786708000000001</v>
      </c>
      <c r="P35" s="22">
        <v>1.9872726999999999</v>
      </c>
      <c r="Q35" s="25">
        <f t="shared" si="1"/>
        <v>0</v>
      </c>
      <c r="R35">
        <v>0</v>
      </c>
      <c r="S35" s="24">
        <v>0</v>
      </c>
      <c r="T35">
        <f>Q35/100</f>
        <v>0</v>
      </c>
      <c r="U35">
        <f>R35/100</f>
        <v>0</v>
      </c>
      <c r="V35">
        <f>S35/100</f>
        <v>0</v>
      </c>
      <c r="Y35">
        <v>0.38500000000000001</v>
      </c>
      <c r="Z35" s="5">
        <f t="shared" si="2"/>
        <v>38.5</v>
      </c>
    </row>
    <row r="36" spans="1:26" x14ac:dyDescent="0.25">
      <c r="A36" t="s">
        <v>5</v>
      </c>
      <c r="B36">
        <v>1</v>
      </c>
      <c r="C36">
        <v>2012</v>
      </c>
      <c r="D36" s="5">
        <v>32.4</v>
      </c>
      <c r="E36" s="5">
        <v>47.9</v>
      </c>
      <c r="F36" s="5">
        <f t="shared" si="0"/>
        <v>15.5</v>
      </c>
      <c r="G36" s="7">
        <v>1.0176278000000001</v>
      </c>
      <c r="H36" s="7">
        <v>5.2235755318793631</v>
      </c>
      <c r="I36" s="8">
        <v>45960.265234999999</v>
      </c>
      <c r="J36" s="10">
        <v>2.578754</v>
      </c>
      <c r="K36" s="7">
        <v>43.166735103081237</v>
      </c>
      <c r="L36" s="5">
        <v>0.58246529102325395</v>
      </c>
      <c r="M36" s="5">
        <v>58.246529102325397</v>
      </c>
      <c r="N36" s="17">
        <v>1.7424242000000001</v>
      </c>
      <c r="O36" s="21">
        <v>3.4848485</v>
      </c>
      <c r="P36" s="22">
        <v>2</v>
      </c>
      <c r="Q36" s="25">
        <f t="shared" si="1"/>
        <v>0</v>
      </c>
      <c r="R36">
        <v>0</v>
      </c>
      <c r="S36" s="24">
        <v>0</v>
      </c>
      <c r="T36">
        <f>Q36/100</f>
        <v>0</v>
      </c>
      <c r="U36">
        <f>R36/100</f>
        <v>0</v>
      </c>
      <c r="V36">
        <f>S36/100</f>
        <v>0</v>
      </c>
      <c r="Y36">
        <v>0.38900000000000001</v>
      </c>
      <c r="Z36" s="5">
        <f t="shared" si="2"/>
        <v>38.9</v>
      </c>
    </row>
    <row r="37" spans="1:26" x14ac:dyDescent="0.25">
      <c r="A37" t="s">
        <v>5</v>
      </c>
      <c r="B37">
        <v>1</v>
      </c>
      <c r="C37">
        <v>2013</v>
      </c>
      <c r="D37" s="5">
        <v>32.6</v>
      </c>
      <c r="E37" s="5">
        <v>48.2</v>
      </c>
      <c r="F37" s="5">
        <f t="shared" si="0"/>
        <v>15.600000000000001</v>
      </c>
      <c r="G37" s="7">
        <v>1.0244988900000001</v>
      </c>
      <c r="H37" s="7">
        <v>5.6619744868382913</v>
      </c>
      <c r="I37" s="8">
        <v>46341.214043</v>
      </c>
      <c r="J37" s="10">
        <v>2.5790169999999999</v>
      </c>
      <c r="K37" s="7">
        <v>41.274899153789981</v>
      </c>
      <c r="L37" s="5">
        <v>0.58209717273712203</v>
      </c>
      <c r="M37" s="5">
        <v>58.209717273712201</v>
      </c>
      <c r="N37" s="17">
        <v>1.6471429</v>
      </c>
      <c r="O37" s="21">
        <v>3.3257143</v>
      </c>
      <c r="P37" s="22">
        <v>2.0190807</v>
      </c>
      <c r="Q37" s="25">
        <f t="shared" si="1"/>
        <v>0</v>
      </c>
      <c r="R37">
        <v>0</v>
      </c>
      <c r="S37" s="24">
        <v>0</v>
      </c>
      <c r="T37">
        <f>Q37/100</f>
        <v>0</v>
      </c>
      <c r="U37">
        <f>R37/100</f>
        <v>0</v>
      </c>
      <c r="V37">
        <f>S37/100</f>
        <v>0</v>
      </c>
      <c r="Y37">
        <v>0.39300000000000002</v>
      </c>
      <c r="Z37" s="5">
        <f t="shared" si="2"/>
        <v>39.300000000000004</v>
      </c>
    </row>
    <row r="38" spans="1:26" x14ac:dyDescent="0.25">
      <c r="A38" t="s">
        <v>5</v>
      </c>
      <c r="B38">
        <v>1</v>
      </c>
      <c r="C38">
        <v>2014</v>
      </c>
      <c r="D38" s="5">
        <v>32.700000000000003</v>
      </c>
      <c r="E38" s="5">
        <v>48.4</v>
      </c>
      <c r="F38" s="5">
        <f t="shared" si="0"/>
        <v>15.699999999999996</v>
      </c>
      <c r="G38" s="7">
        <v>1.02487923</v>
      </c>
      <c r="H38" s="7">
        <v>6.0767587980597071</v>
      </c>
      <c r="I38" s="8">
        <v>46637.881577</v>
      </c>
      <c r="J38" s="10">
        <v>2.152736</v>
      </c>
      <c r="K38" s="7">
        <v>42.471742409125</v>
      </c>
      <c r="L38" s="5">
        <v>0.59602600336074796</v>
      </c>
      <c r="M38" s="5">
        <v>59.602600336074794</v>
      </c>
      <c r="N38" s="17">
        <v>1.6830295</v>
      </c>
      <c r="O38" s="21">
        <v>3.4740533</v>
      </c>
      <c r="P38" s="22">
        <v>2.0641666999999999</v>
      </c>
      <c r="Q38" s="25">
        <f t="shared" si="1"/>
        <v>0</v>
      </c>
      <c r="R38">
        <v>0</v>
      </c>
      <c r="S38" s="24">
        <v>0</v>
      </c>
      <c r="T38">
        <f>Q38/100</f>
        <v>0</v>
      </c>
      <c r="U38">
        <f>R38/100</f>
        <v>0</v>
      </c>
      <c r="V38">
        <f>S38/100</f>
        <v>0</v>
      </c>
      <c r="W38">
        <v>0.72665000000000002</v>
      </c>
      <c r="X38">
        <v>0.39700000000000002</v>
      </c>
      <c r="Y38">
        <v>0.39700000000000002</v>
      </c>
      <c r="Z38" s="5">
        <f t="shared" si="2"/>
        <v>39.700000000000003</v>
      </c>
    </row>
    <row r="39" spans="1:26" x14ac:dyDescent="0.25">
      <c r="A39" t="s">
        <v>15</v>
      </c>
      <c r="B39">
        <v>2</v>
      </c>
      <c r="C39">
        <v>1978</v>
      </c>
      <c r="D39" s="5">
        <v>21.3</v>
      </c>
      <c r="E39" s="5">
        <v>40.6</v>
      </c>
      <c r="F39" s="5">
        <f t="shared" si="0"/>
        <v>19.3</v>
      </c>
      <c r="G39" s="7">
        <v>1.0779935</v>
      </c>
      <c r="H39" s="7">
        <v>7.2819644369178667</v>
      </c>
      <c r="I39" s="8">
        <v>21158.394337000002</v>
      </c>
      <c r="J39" s="11">
        <v>2.919708</v>
      </c>
      <c r="K39" s="7">
        <v>52.625937916050304</v>
      </c>
      <c r="L39" s="5">
        <v>0.664201200008392</v>
      </c>
      <c r="M39" s="5">
        <v>66.420120000839205</v>
      </c>
      <c r="N39" s="17">
        <v>1.57368343413482</v>
      </c>
      <c r="O39" s="21">
        <v>2.6493091409745699</v>
      </c>
      <c r="P39" s="22">
        <v>1.68</v>
      </c>
      <c r="Q39" s="25">
        <f t="shared" si="1"/>
        <v>0</v>
      </c>
      <c r="R39">
        <v>0</v>
      </c>
      <c r="S39" s="24">
        <v>0</v>
      </c>
      <c r="T39">
        <f>Q39/100</f>
        <v>0</v>
      </c>
      <c r="U39">
        <f>R39/100</f>
        <v>0</v>
      </c>
      <c r="V39">
        <f>S39/100</f>
        <v>0</v>
      </c>
    </row>
    <row r="40" spans="1:26" x14ac:dyDescent="0.25">
      <c r="A40" t="s">
        <v>15</v>
      </c>
      <c r="B40">
        <v>2</v>
      </c>
      <c r="C40">
        <v>1979</v>
      </c>
      <c r="D40" s="5">
        <v>21.4</v>
      </c>
      <c r="E40" s="5">
        <v>40.4</v>
      </c>
      <c r="F40" s="5">
        <f t="shared" si="0"/>
        <v>19</v>
      </c>
      <c r="G40" s="7">
        <v>1.0746695500000001</v>
      </c>
      <c r="H40" s="7">
        <v>5.9857681038091251</v>
      </c>
      <c r="I40" s="8">
        <v>22607.245221000001</v>
      </c>
      <c r="J40" s="11">
        <v>7.1219260000000002</v>
      </c>
      <c r="K40" s="7">
        <v>58.113530040263051</v>
      </c>
      <c r="L40" s="5">
        <v>0.64965778589248702</v>
      </c>
      <c r="M40" s="5">
        <v>64.9657785892487</v>
      </c>
      <c r="N40" s="17"/>
      <c r="O40" s="21"/>
      <c r="P40" s="22"/>
      <c r="Q40" s="25">
        <f t="shared" si="1"/>
        <v>0</v>
      </c>
      <c r="R40">
        <v>0</v>
      </c>
      <c r="S40" s="24">
        <v>0</v>
      </c>
      <c r="T40">
        <f>Q40/100</f>
        <v>0</v>
      </c>
      <c r="U40">
        <f>R40/100</f>
        <v>0</v>
      </c>
      <c r="V40">
        <f>S40/100</f>
        <v>0</v>
      </c>
    </row>
    <row r="41" spans="1:26" x14ac:dyDescent="0.25">
      <c r="A41" t="s">
        <v>15</v>
      </c>
      <c r="B41">
        <v>2</v>
      </c>
      <c r="C41">
        <v>1980</v>
      </c>
      <c r="D41" s="5">
        <v>21.4</v>
      </c>
      <c r="E41" s="5">
        <v>40.200000000000003</v>
      </c>
      <c r="F41" s="5">
        <f t="shared" si="0"/>
        <v>18.800000000000004</v>
      </c>
      <c r="G41" s="7">
        <v>1.1159462</v>
      </c>
      <c r="H41" s="7">
        <v>4.6875</v>
      </c>
      <c r="I41" s="8">
        <v>23751.783162</v>
      </c>
      <c r="J41" s="11">
        <v>5.3890469999999997</v>
      </c>
      <c r="K41" s="7">
        <v>62.946786701132005</v>
      </c>
      <c r="L41" s="5">
        <v>0.66344517469406095</v>
      </c>
      <c r="M41" s="5">
        <v>66.3445174694061</v>
      </c>
      <c r="N41" s="17">
        <v>1.4931449999999999</v>
      </c>
      <c r="O41" s="21">
        <v>2.4705718999999999</v>
      </c>
      <c r="P41" s="22">
        <v>1.6546095000000001</v>
      </c>
      <c r="Q41" s="25">
        <f t="shared" si="1"/>
        <v>0</v>
      </c>
      <c r="R41">
        <v>0</v>
      </c>
      <c r="S41" s="24">
        <v>0</v>
      </c>
      <c r="T41">
        <f>Q41/100</f>
        <v>0</v>
      </c>
      <c r="U41">
        <f>R41/100</f>
        <v>0</v>
      </c>
      <c r="V41">
        <f>S41/100</f>
        <v>0</v>
      </c>
    </row>
    <row r="42" spans="1:26" x14ac:dyDescent="0.25">
      <c r="A42" t="s">
        <v>15</v>
      </c>
      <c r="B42">
        <v>2</v>
      </c>
      <c r="C42">
        <v>1981</v>
      </c>
      <c r="D42" s="5">
        <v>20.8</v>
      </c>
      <c r="E42" s="5">
        <v>39.700000000000003</v>
      </c>
      <c r="F42" s="5">
        <f t="shared" si="0"/>
        <v>18.900000000000002</v>
      </c>
      <c r="G42" s="7">
        <v>1.1130575</v>
      </c>
      <c r="H42" s="7">
        <v>4.9107142857142856</v>
      </c>
      <c r="I42" s="8">
        <v>23961.553121000001</v>
      </c>
      <c r="J42" s="11">
        <v>1.315879</v>
      </c>
      <c r="K42" s="7">
        <v>61.596658523130266</v>
      </c>
      <c r="L42" s="5">
        <v>0.67321532964706399</v>
      </c>
      <c r="M42" s="5">
        <v>67.321532964706392</v>
      </c>
      <c r="N42" s="17"/>
      <c r="O42" s="21"/>
      <c r="P42" s="22"/>
      <c r="Q42" s="25">
        <f t="shared" si="1"/>
        <v>0</v>
      </c>
      <c r="R42">
        <v>0</v>
      </c>
      <c r="S42" s="24">
        <v>0</v>
      </c>
      <c r="T42">
        <f>Q42/100</f>
        <v>0</v>
      </c>
      <c r="U42">
        <f>R42/100</f>
        <v>0</v>
      </c>
      <c r="V42">
        <f>S42/100</f>
        <v>0</v>
      </c>
    </row>
    <row r="43" spans="1:26" x14ac:dyDescent="0.25">
      <c r="A43" t="s">
        <v>15</v>
      </c>
      <c r="B43">
        <v>2</v>
      </c>
      <c r="C43">
        <v>1982</v>
      </c>
      <c r="D43" s="5">
        <v>20.8</v>
      </c>
      <c r="E43" s="5">
        <v>39.6</v>
      </c>
      <c r="F43" s="5">
        <f t="shared" si="0"/>
        <v>18.8</v>
      </c>
      <c r="G43" s="7">
        <v>1.0958493</v>
      </c>
      <c r="H43" s="7">
        <v>5.3956834532374103</v>
      </c>
      <c r="I43" s="8">
        <v>24568.612842999999</v>
      </c>
      <c r="J43" s="11">
        <v>3.1080890000000001</v>
      </c>
      <c r="K43" s="7">
        <v>57.57540359320609</v>
      </c>
      <c r="L43" s="5">
        <v>0.66649138927459695</v>
      </c>
      <c r="M43" s="5">
        <v>66.649138927459688</v>
      </c>
      <c r="N43" s="17"/>
      <c r="O43" s="21"/>
      <c r="P43" s="22"/>
      <c r="Q43" s="25">
        <f t="shared" si="1"/>
        <v>0</v>
      </c>
      <c r="R43">
        <v>0</v>
      </c>
      <c r="S43" s="24">
        <v>0</v>
      </c>
      <c r="T43">
        <f>Q43/100</f>
        <v>0</v>
      </c>
      <c r="U43">
        <f>R43/100</f>
        <v>0</v>
      </c>
      <c r="V43">
        <f>S43/100</f>
        <v>0</v>
      </c>
    </row>
    <row r="44" spans="1:26" x14ac:dyDescent="0.25">
      <c r="A44" t="s">
        <v>15</v>
      </c>
      <c r="B44">
        <v>2</v>
      </c>
      <c r="C44">
        <v>1983</v>
      </c>
      <c r="D44" s="5">
        <v>20.7</v>
      </c>
      <c r="E44" s="5">
        <v>39.4</v>
      </c>
      <c r="F44" s="5">
        <f t="shared" si="0"/>
        <v>18.7</v>
      </c>
      <c r="G44" s="7">
        <v>1.0836629099999999</v>
      </c>
      <c r="H44" s="7">
        <v>5.4805401111993648</v>
      </c>
      <c r="I44" s="8">
        <v>25183.532835999998</v>
      </c>
      <c r="J44" s="11">
        <v>3.1165820000000002</v>
      </c>
      <c r="K44" s="7">
        <v>57.419584520020109</v>
      </c>
      <c r="L44" s="5">
        <v>0.66067510843277</v>
      </c>
      <c r="M44" s="5">
        <v>66.067510843277006</v>
      </c>
      <c r="N44" s="17">
        <v>1.4771909000000001</v>
      </c>
      <c r="O44" s="21">
        <v>2.5026323000000001</v>
      </c>
      <c r="P44" s="22">
        <v>1.6941834</v>
      </c>
      <c r="Q44" s="25">
        <f t="shared" si="1"/>
        <v>0</v>
      </c>
      <c r="R44">
        <v>0</v>
      </c>
      <c r="S44" s="24">
        <v>0</v>
      </c>
      <c r="T44">
        <f>Q44/100</f>
        <v>0</v>
      </c>
      <c r="U44">
        <f>R44/100</f>
        <v>0</v>
      </c>
      <c r="V44">
        <f>S44/100</f>
        <v>0</v>
      </c>
    </row>
    <row r="45" spans="1:26" x14ac:dyDescent="0.25">
      <c r="A45" t="s">
        <v>15</v>
      </c>
      <c r="B45">
        <v>2</v>
      </c>
      <c r="C45">
        <v>1984</v>
      </c>
      <c r="D45" s="5">
        <v>20.7</v>
      </c>
      <c r="E45" s="5">
        <v>39.299999999999997</v>
      </c>
      <c r="F45" s="5">
        <f t="shared" si="0"/>
        <v>18.599999999999998</v>
      </c>
      <c r="G45" s="7">
        <v>1.07067658</v>
      </c>
      <c r="H45" s="7">
        <v>5.2444794952681386</v>
      </c>
      <c r="I45" s="8">
        <v>25860.430418</v>
      </c>
      <c r="J45" s="11">
        <v>3.237692</v>
      </c>
      <c r="K45" s="7">
        <v>56.599326599326602</v>
      </c>
      <c r="L45" s="5">
        <v>0.65804690122604403</v>
      </c>
      <c r="M45" s="5">
        <v>65.804690122604399</v>
      </c>
      <c r="N45" s="17"/>
      <c r="O45" s="21"/>
      <c r="P45" s="22"/>
      <c r="Q45" s="25">
        <f t="shared" si="1"/>
        <v>0</v>
      </c>
      <c r="R45">
        <v>0</v>
      </c>
      <c r="S45" s="24">
        <v>0</v>
      </c>
      <c r="T45">
        <f>Q45/100</f>
        <v>0</v>
      </c>
      <c r="U45">
        <f>R45/100</f>
        <v>0</v>
      </c>
      <c r="V45">
        <f>S45/100</f>
        <v>0</v>
      </c>
    </row>
    <row r="46" spans="1:26" x14ac:dyDescent="0.25">
      <c r="A46" t="s">
        <v>15</v>
      </c>
      <c r="B46">
        <v>2</v>
      </c>
      <c r="C46">
        <v>1985</v>
      </c>
      <c r="D46" s="5">
        <v>20.6</v>
      </c>
      <c r="E46" s="5">
        <v>39.200000000000003</v>
      </c>
      <c r="F46" s="5">
        <f t="shared" si="0"/>
        <v>18.600000000000001</v>
      </c>
      <c r="G46" s="7">
        <v>1.05195623</v>
      </c>
      <c r="H46" s="7">
        <v>5.046948356807512</v>
      </c>
      <c r="I46" s="8">
        <v>26666.755670999999</v>
      </c>
      <c r="J46" s="11">
        <v>3.5488970000000002</v>
      </c>
      <c r="K46" s="7">
        <v>55.307751738346646</v>
      </c>
      <c r="L46" s="5">
        <v>0.67199569940567005</v>
      </c>
      <c r="M46" s="5">
        <v>67.199569940567002</v>
      </c>
      <c r="N46" s="17"/>
      <c r="O46" s="21"/>
      <c r="P46" s="22"/>
      <c r="Q46" s="25">
        <f t="shared" si="1"/>
        <v>0</v>
      </c>
      <c r="R46">
        <v>0</v>
      </c>
      <c r="S46" s="24">
        <v>0</v>
      </c>
      <c r="T46">
        <f>Q46/100</f>
        <v>0</v>
      </c>
      <c r="U46">
        <f>R46/100</f>
        <v>0</v>
      </c>
      <c r="V46">
        <f>S46/100</f>
        <v>0</v>
      </c>
    </row>
    <row r="47" spans="1:26" x14ac:dyDescent="0.25">
      <c r="A47" t="s">
        <v>15</v>
      </c>
      <c r="B47">
        <v>2</v>
      </c>
      <c r="C47">
        <v>1986</v>
      </c>
      <c r="D47" s="5">
        <v>20.6</v>
      </c>
      <c r="E47" s="5">
        <v>39</v>
      </c>
      <c r="F47" s="5">
        <f t="shared" si="0"/>
        <v>18.399999999999999</v>
      </c>
      <c r="G47" s="7">
        <v>1.02933578</v>
      </c>
      <c r="H47" s="7">
        <v>5.3927315357561545</v>
      </c>
      <c r="I47" s="8">
        <v>27312.450226000001</v>
      </c>
      <c r="J47" s="11">
        <v>2.755633</v>
      </c>
      <c r="K47" s="7">
        <v>49.983251718692678</v>
      </c>
      <c r="L47" s="5">
        <v>0.67025291919708296</v>
      </c>
      <c r="M47" s="5">
        <v>67.025291919708295</v>
      </c>
      <c r="N47" s="17">
        <v>1.4656130000000001</v>
      </c>
      <c r="O47" s="21">
        <v>2.4846184</v>
      </c>
      <c r="P47" s="22">
        <v>1.6952758999999999</v>
      </c>
      <c r="Q47" s="25">
        <f t="shared" si="1"/>
        <v>0</v>
      </c>
      <c r="R47">
        <v>0</v>
      </c>
      <c r="S47" s="24">
        <v>0</v>
      </c>
      <c r="T47">
        <f>Q47/100</f>
        <v>0</v>
      </c>
      <c r="U47">
        <f>R47/100</f>
        <v>0</v>
      </c>
      <c r="V47">
        <f>S47/100</f>
        <v>0</v>
      </c>
    </row>
    <row r="48" spans="1:26" x14ac:dyDescent="0.25">
      <c r="A48" t="s">
        <v>15</v>
      </c>
      <c r="B48">
        <v>2</v>
      </c>
      <c r="C48">
        <v>1987</v>
      </c>
      <c r="D48" s="5">
        <v>20.7</v>
      </c>
      <c r="E48" s="5">
        <v>39.1</v>
      </c>
      <c r="F48" s="5">
        <f t="shared" si="0"/>
        <v>18.400000000000002</v>
      </c>
      <c r="G48" s="7">
        <v>1.04113027</v>
      </c>
      <c r="H48" s="7">
        <v>5.1100628930817615</v>
      </c>
      <c r="I48" s="8">
        <v>28209.097234000001</v>
      </c>
      <c r="J48" s="11">
        <v>3.5748259999999998</v>
      </c>
      <c r="K48" s="7">
        <v>49.478705180459563</v>
      </c>
      <c r="L48" s="5">
        <v>0.66841131448745705</v>
      </c>
      <c r="M48" s="5">
        <v>66.841131448745699</v>
      </c>
      <c r="N48" s="17">
        <v>1.4788110000000001</v>
      </c>
      <c r="O48" s="21">
        <v>2.5106666999999998</v>
      </c>
      <c r="P48" s="22">
        <v>1.6977603999999999</v>
      </c>
      <c r="Q48" s="25">
        <f t="shared" si="1"/>
        <v>0</v>
      </c>
      <c r="R48">
        <v>0</v>
      </c>
      <c r="S48" s="24">
        <v>0</v>
      </c>
      <c r="T48">
        <f>Q48/100</f>
        <v>0</v>
      </c>
      <c r="U48">
        <f>R48/100</f>
        <v>0</v>
      </c>
      <c r="V48">
        <f>S48/100</f>
        <v>0</v>
      </c>
      <c r="W48">
        <v>0.66115000000000002</v>
      </c>
      <c r="X48">
        <v>0.36099999999999999</v>
      </c>
      <c r="Y48">
        <v>0.36099999999999999</v>
      </c>
      <c r="Z48" s="5">
        <f>Y48*100</f>
        <v>36.1</v>
      </c>
    </row>
    <row r="49" spans="1:26" x14ac:dyDescent="0.25">
      <c r="A49" t="s">
        <v>15</v>
      </c>
      <c r="B49">
        <v>2</v>
      </c>
      <c r="C49">
        <v>1988</v>
      </c>
      <c r="D49" s="5">
        <v>20.8</v>
      </c>
      <c r="E49" s="5">
        <v>39.6</v>
      </c>
      <c r="F49" s="5">
        <f t="shared" si="0"/>
        <v>18.8</v>
      </c>
      <c r="G49" s="7">
        <v>1.05085932</v>
      </c>
      <c r="H49" s="7">
        <v>4.5741324921135647</v>
      </c>
      <c r="I49" s="8">
        <v>29594.402977999998</v>
      </c>
      <c r="J49" s="11">
        <v>5.2171500000000002</v>
      </c>
      <c r="K49" s="7">
        <v>48.157658068636522</v>
      </c>
      <c r="L49" s="5">
        <v>0.66368770599365201</v>
      </c>
      <c r="M49" s="5">
        <v>66.368770599365206</v>
      </c>
      <c r="N49" s="17">
        <v>1.4570574000000001</v>
      </c>
      <c r="O49" s="21">
        <v>2.4544065000000002</v>
      </c>
      <c r="P49" s="22">
        <v>1.6844954000000001</v>
      </c>
      <c r="Q49" s="25">
        <f t="shared" si="1"/>
        <v>0</v>
      </c>
      <c r="R49">
        <v>0</v>
      </c>
      <c r="S49" s="24">
        <v>0</v>
      </c>
      <c r="T49">
        <f>Q49/100</f>
        <v>0</v>
      </c>
      <c r="U49">
        <f>R49/100</f>
        <v>0</v>
      </c>
      <c r="V49">
        <f>S49/100</f>
        <v>0</v>
      </c>
      <c r="Y49">
        <v>0.36149999999999999</v>
      </c>
      <c r="Z49" s="5">
        <f t="shared" ref="Z49:Z74" si="3">Y49*100</f>
        <v>36.15</v>
      </c>
    </row>
    <row r="50" spans="1:26" x14ac:dyDescent="0.25">
      <c r="A50" t="s">
        <v>15</v>
      </c>
      <c r="B50">
        <v>2</v>
      </c>
      <c r="C50">
        <v>1989</v>
      </c>
      <c r="D50" s="5">
        <v>21</v>
      </c>
      <c r="E50" s="5">
        <v>40</v>
      </c>
      <c r="F50" s="5">
        <f t="shared" si="0"/>
        <v>19</v>
      </c>
      <c r="G50" s="7">
        <v>1.0659291099999999</v>
      </c>
      <c r="H50" s="7">
        <v>3.1067961165048543</v>
      </c>
      <c r="I50" s="8">
        <v>30987.776679999999</v>
      </c>
      <c r="J50" s="11">
        <v>5.0871440000000003</v>
      </c>
      <c r="K50" s="7">
        <v>47.874631800770743</v>
      </c>
      <c r="L50" s="5">
        <v>0.66390663385391202</v>
      </c>
      <c r="M50" s="5">
        <v>66.390663385391207</v>
      </c>
      <c r="N50" s="17">
        <v>1.4952955999999999</v>
      </c>
      <c r="O50" s="21">
        <v>2.5622824</v>
      </c>
      <c r="P50" s="22">
        <v>1.7135625000000001</v>
      </c>
      <c r="Q50" s="25">
        <f t="shared" si="1"/>
        <v>0</v>
      </c>
      <c r="R50">
        <v>0</v>
      </c>
      <c r="S50" s="24">
        <v>0</v>
      </c>
      <c r="T50">
        <f>Q50/100</f>
        <v>0</v>
      </c>
      <c r="U50">
        <f>R50/100</f>
        <v>0</v>
      </c>
      <c r="V50">
        <f>S50/100</f>
        <v>0</v>
      </c>
      <c r="Y50">
        <v>0.36199999999999999</v>
      </c>
      <c r="Z50" s="5">
        <f t="shared" si="3"/>
        <v>36.199999999999996</v>
      </c>
    </row>
    <row r="51" spans="1:26" x14ac:dyDescent="0.25">
      <c r="A51" t="s">
        <v>15</v>
      </c>
      <c r="B51">
        <v>2</v>
      </c>
      <c r="C51">
        <v>1990</v>
      </c>
      <c r="D51" s="5">
        <v>21.1</v>
      </c>
      <c r="E51" s="5">
        <v>40.299999999999997</v>
      </c>
      <c r="F51" s="5">
        <f t="shared" si="0"/>
        <v>19.199999999999996</v>
      </c>
      <c r="G51" s="7">
        <v>1.0614956099999999</v>
      </c>
      <c r="H51" s="7">
        <v>3.1857031857031854</v>
      </c>
      <c r="I51" s="8">
        <v>31057.845783000001</v>
      </c>
      <c r="J51" s="11">
        <v>0.67027599999999998</v>
      </c>
      <c r="K51" s="7">
        <v>45.84153299838389</v>
      </c>
      <c r="L51" s="5">
        <v>0.67934006452560403</v>
      </c>
      <c r="M51" s="5">
        <v>67.934006452560396</v>
      </c>
      <c r="N51" s="17">
        <v>1.4666448000000001</v>
      </c>
      <c r="O51" s="21">
        <v>2.4927869</v>
      </c>
      <c r="P51" s="22">
        <v>1.6996528</v>
      </c>
      <c r="Q51" s="25">
        <f t="shared" si="1"/>
        <v>0</v>
      </c>
      <c r="R51">
        <v>0</v>
      </c>
      <c r="S51" s="24">
        <v>0</v>
      </c>
      <c r="T51">
        <f>Q51/100</f>
        <v>0</v>
      </c>
      <c r="U51">
        <f>R51/100</f>
        <v>0</v>
      </c>
      <c r="V51">
        <f>S51/100</f>
        <v>0</v>
      </c>
      <c r="Y51">
        <v>0.36249999999999999</v>
      </c>
      <c r="Z51" s="5">
        <f t="shared" si="3"/>
        <v>36.25</v>
      </c>
    </row>
    <row r="52" spans="1:26" x14ac:dyDescent="0.25">
      <c r="A52" t="s">
        <v>15</v>
      </c>
      <c r="B52">
        <v>2</v>
      </c>
      <c r="C52">
        <v>1991</v>
      </c>
      <c r="D52" s="5">
        <v>21</v>
      </c>
      <c r="E52" s="5">
        <v>40.700000000000003</v>
      </c>
      <c r="F52" s="5">
        <f t="shared" si="0"/>
        <v>19.700000000000003</v>
      </c>
      <c r="G52" s="7">
        <v>1.04310215</v>
      </c>
      <c r="H52" s="7">
        <v>6.6692975532754533</v>
      </c>
      <c r="I52" s="8">
        <v>29070.521133999999</v>
      </c>
      <c r="J52" s="11">
        <v>-5.8863279999999998</v>
      </c>
      <c r="K52" s="7">
        <v>43.488417588234618</v>
      </c>
      <c r="L52" s="5">
        <v>0.70811116695404097</v>
      </c>
      <c r="M52" s="5">
        <v>70.811116695404095</v>
      </c>
      <c r="N52" s="17">
        <v>1.4438192000000001</v>
      </c>
      <c r="O52" s="21">
        <v>2.4292400999999999</v>
      </c>
      <c r="P52" s="22">
        <v>1.6825098999999999</v>
      </c>
      <c r="Q52" s="25">
        <f t="shared" si="1"/>
        <v>0</v>
      </c>
      <c r="R52">
        <v>0</v>
      </c>
      <c r="S52" s="24">
        <v>0</v>
      </c>
      <c r="T52">
        <f>Q52/100</f>
        <v>0</v>
      </c>
      <c r="U52">
        <f>R52/100</f>
        <v>0</v>
      </c>
      <c r="V52">
        <f>S52/100</f>
        <v>0</v>
      </c>
      <c r="W52">
        <v>0.67296999999999996</v>
      </c>
      <c r="X52">
        <v>0.36299999999999999</v>
      </c>
      <c r="Y52">
        <v>0.36299999999999999</v>
      </c>
      <c r="Z52" s="5">
        <f t="shared" si="3"/>
        <v>36.299999999999997</v>
      </c>
    </row>
    <row r="53" spans="1:26" x14ac:dyDescent="0.25">
      <c r="A53" t="s">
        <v>15</v>
      </c>
      <c r="B53">
        <v>2</v>
      </c>
      <c r="C53">
        <v>1992</v>
      </c>
      <c r="D53" s="5">
        <v>21.4</v>
      </c>
      <c r="E53" s="5">
        <v>41.3</v>
      </c>
      <c r="F53" s="5">
        <f t="shared" si="0"/>
        <v>19.899999999999999</v>
      </c>
      <c r="G53" s="7">
        <v>1.02919323</v>
      </c>
      <c r="H53" s="7">
        <v>11.731619124146244</v>
      </c>
      <c r="I53" s="8">
        <v>27954.953597</v>
      </c>
      <c r="J53" s="11">
        <v>-3.2946599999999999</v>
      </c>
      <c r="K53" s="7">
        <v>50.241796607770517</v>
      </c>
      <c r="L53" s="5">
        <v>0.67991089820861805</v>
      </c>
      <c r="M53" s="5">
        <v>67.991089820861802</v>
      </c>
      <c r="N53" s="17">
        <v>1.4231532</v>
      </c>
      <c r="O53" s="21">
        <v>2.3596205000000001</v>
      </c>
      <c r="P53" s="22">
        <v>1.6580227999999999</v>
      </c>
      <c r="Q53" s="25">
        <f t="shared" si="1"/>
        <v>0.86721999999999999</v>
      </c>
      <c r="R53">
        <v>0.86721999999999999</v>
      </c>
      <c r="S53" s="24">
        <v>0</v>
      </c>
      <c r="T53">
        <f>Q53/100</f>
        <v>8.6721999999999997E-3</v>
      </c>
      <c r="U53">
        <f>R53/100</f>
        <v>8.6721999999999997E-3</v>
      </c>
      <c r="V53">
        <f>S53/100</f>
        <v>0</v>
      </c>
      <c r="Y53">
        <v>0.38024999999999998</v>
      </c>
      <c r="Z53" s="5">
        <f t="shared" si="3"/>
        <v>38.024999999999999</v>
      </c>
    </row>
    <row r="54" spans="1:26" x14ac:dyDescent="0.25">
      <c r="A54" t="s">
        <v>15</v>
      </c>
      <c r="B54">
        <v>2</v>
      </c>
      <c r="C54">
        <v>1993</v>
      </c>
      <c r="D54" s="5">
        <v>21.9</v>
      </c>
      <c r="E54" s="5">
        <v>42.4</v>
      </c>
      <c r="F54" s="5">
        <f t="shared" si="0"/>
        <v>20.5</v>
      </c>
      <c r="G54" s="7">
        <v>1.02190654</v>
      </c>
      <c r="H54" s="7">
        <v>16.423357664233578</v>
      </c>
      <c r="I54" s="8">
        <v>27636.151361</v>
      </c>
      <c r="J54" s="11">
        <v>-0.66199799999999998</v>
      </c>
      <c r="K54" s="7">
        <v>58.164932095020305</v>
      </c>
      <c r="L54" s="5">
        <v>0.63353741168975797</v>
      </c>
      <c r="M54" s="5">
        <v>63.353741168975795</v>
      </c>
      <c r="N54" s="17">
        <v>1.3931581</v>
      </c>
      <c r="O54" s="21">
        <v>2.2963469999999999</v>
      </c>
      <c r="P54" s="22">
        <v>1.6483033</v>
      </c>
      <c r="Q54" s="25">
        <f t="shared" si="1"/>
        <v>3.6188500000000001</v>
      </c>
      <c r="R54">
        <v>3.6188500000000001</v>
      </c>
      <c r="S54" s="24">
        <v>0</v>
      </c>
      <c r="T54">
        <f>Q54/100</f>
        <v>3.6188499999999998E-2</v>
      </c>
      <c r="U54">
        <f>R54/100</f>
        <v>3.6188499999999998E-2</v>
      </c>
      <c r="V54">
        <f>S54/100</f>
        <v>0</v>
      </c>
      <c r="Y54">
        <v>0.39750000000000002</v>
      </c>
      <c r="Z54" s="5">
        <f t="shared" si="3"/>
        <v>39.75</v>
      </c>
    </row>
    <row r="55" spans="1:26" x14ac:dyDescent="0.25">
      <c r="A55" t="s">
        <v>15</v>
      </c>
      <c r="B55">
        <v>2</v>
      </c>
      <c r="C55">
        <v>1994</v>
      </c>
      <c r="D55" s="5">
        <v>22.2</v>
      </c>
      <c r="E55" s="5">
        <v>43.6</v>
      </c>
      <c r="F55" s="5">
        <f t="shared" si="0"/>
        <v>21.400000000000002</v>
      </c>
      <c r="G55" s="7">
        <v>1.0108855800000001</v>
      </c>
      <c r="H55" s="7">
        <v>16.625916870415647</v>
      </c>
      <c r="I55" s="8">
        <v>28607.726884</v>
      </c>
      <c r="J55" s="11">
        <v>3.9630519999999998</v>
      </c>
      <c r="K55" s="7">
        <v>62.428236123814038</v>
      </c>
      <c r="L55" s="5">
        <v>0.60737484693527199</v>
      </c>
      <c r="M55" s="5">
        <v>60.7374846935272</v>
      </c>
      <c r="N55" s="17">
        <v>1.3974073</v>
      </c>
      <c r="O55" s="21">
        <v>2.3499295999999998</v>
      </c>
      <c r="P55" s="22">
        <v>1.6816354</v>
      </c>
      <c r="Q55" s="25">
        <f t="shared" si="1"/>
        <v>3.4520999999999997</v>
      </c>
      <c r="R55">
        <v>1.76528</v>
      </c>
      <c r="S55" s="24">
        <v>1.68682</v>
      </c>
      <c r="T55">
        <f>Q55/100</f>
        <v>3.4520999999999996E-2</v>
      </c>
      <c r="U55">
        <f>R55/100</f>
        <v>1.76528E-2</v>
      </c>
      <c r="V55">
        <f>S55/100</f>
        <v>1.68682E-2</v>
      </c>
      <c r="Y55">
        <v>0.41475000000000001</v>
      </c>
      <c r="Z55" s="5">
        <f t="shared" si="3"/>
        <v>41.475000000000001</v>
      </c>
    </row>
    <row r="56" spans="1:26" x14ac:dyDescent="0.25">
      <c r="A56" t="s">
        <v>15</v>
      </c>
      <c r="B56">
        <v>2</v>
      </c>
      <c r="C56">
        <v>1995</v>
      </c>
      <c r="D56" s="5">
        <v>22.2</v>
      </c>
      <c r="E56" s="5">
        <v>45.3</v>
      </c>
      <c r="F56" s="5">
        <f t="shared" si="0"/>
        <v>23.099999999999998</v>
      </c>
      <c r="G56" s="7">
        <v>1.0079123619999999</v>
      </c>
      <c r="H56" s="7">
        <v>15.44682571775172</v>
      </c>
      <c r="I56" s="8">
        <v>29700.255892000001</v>
      </c>
      <c r="J56" s="11">
        <v>4.2168669999999997</v>
      </c>
      <c r="K56" s="7">
        <v>64.073709525210802</v>
      </c>
      <c r="L56" s="5">
        <v>0.59062218666076705</v>
      </c>
      <c r="M56" s="5">
        <v>59.062218666076703</v>
      </c>
      <c r="N56" s="17">
        <v>1.4097075999999999</v>
      </c>
      <c r="O56" s="21">
        <v>2.3364741000000002</v>
      </c>
      <c r="P56" s="22">
        <v>1.6574176</v>
      </c>
      <c r="Q56" s="25">
        <f t="shared" si="1"/>
        <v>1.7027100000000004</v>
      </c>
      <c r="R56">
        <v>2.4088200000000004</v>
      </c>
      <c r="S56" s="24">
        <v>-0.70611000000000002</v>
      </c>
      <c r="T56">
        <f>Q56/100</f>
        <v>1.7027100000000003E-2</v>
      </c>
      <c r="U56">
        <f>R56/100</f>
        <v>2.4088200000000004E-2</v>
      </c>
      <c r="V56">
        <f>S56/100</f>
        <v>-7.0610999999999998E-3</v>
      </c>
      <c r="W56">
        <v>0.72629999999999995</v>
      </c>
      <c r="X56">
        <v>0.432</v>
      </c>
      <c r="Y56">
        <v>0.432</v>
      </c>
      <c r="Z56" s="5">
        <f t="shared" si="3"/>
        <v>43.2</v>
      </c>
    </row>
    <row r="57" spans="1:26" x14ac:dyDescent="0.25">
      <c r="A57" t="s">
        <v>15</v>
      </c>
      <c r="B57">
        <v>2</v>
      </c>
      <c r="C57">
        <v>1996</v>
      </c>
      <c r="D57" s="5">
        <v>22.9</v>
      </c>
      <c r="E57" s="5">
        <v>45.1</v>
      </c>
      <c r="F57" s="5">
        <f t="shared" si="0"/>
        <v>22.200000000000003</v>
      </c>
      <c r="G57" s="7">
        <v>1.0062919809999999</v>
      </c>
      <c r="H57" s="7">
        <v>14.631197097944376</v>
      </c>
      <c r="I57" s="8">
        <v>30688.480594000001</v>
      </c>
      <c r="J57" s="11">
        <v>3.6671800000000001</v>
      </c>
      <c r="K57" s="7">
        <v>65.722010520850688</v>
      </c>
      <c r="L57" s="5">
        <v>0.59269171953201305</v>
      </c>
      <c r="M57" s="5">
        <v>59.269171953201308</v>
      </c>
      <c r="N57" s="17">
        <v>1.3973431999999999</v>
      </c>
      <c r="O57" s="21">
        <v>2.2915991</v>
      </c>
      <c r="P57" s="22">
        <v>1.6399686</v>
      </c>
      <c r="Q57" s="25">
        <f t="shared" si="1"/>
        <v>1.6027900000000002</v>
      </c>
      <c r="R57">
        <v>1.6027900000000002</v>
      </c>
      <c r="S57" s="24">
        <v>0</v>
      </c>
      <c r="T57">
        <f>Q57/100</f>
        <v>1.6027900000000001E-2</v>
      </c>
      <c r="U57">
        <f>R57/100</f>
        <v>1.6027900000000001E-2</v>
      </c>
      <c r="V57">
        <f>S57/100</f>
        <v>0</v>
      </c>
      <c r="Y57">
        <v>0.42599999999999999</v>
      </c>
      <c r="Z57" s="5">
        <f t="shared" si="3"/>
        <v>42.6</v>
      </c>
    </row>
    <row r="58" spans="1:26" x14ac:dyDescent="0.25">
      <c r="A58" t="s">
        <v>15</v>
      </c>
      <c r="B58">
        <v>2</v>
      </c>
      <c r="C58">
        <v>1997</v>
      </c>
      <c r="D58" s="5">
        <v>23.6</v>
      </c>
      <c r="E58" s="5">
        <v>45.6</v>
      </c>
      <c r="F58" s="5">
        <f t="shared" si="0"/>
        <v>22</v>
      </c>
      <c r="G58" s="7">
        <v>1.0119255700000001</v>
      </c>
      <c r="H58" s="7">
        <v>12.681744749596122</v>
      </c>
      <c r="I58" s="8">
        <v>32535.722521</v>
      </c>
      <c r="J58" s="11">
        <v>6.3337960000000004</v>
      </c>
      <c r="K58" s="7">
        <v>68.221321757650685</v>
      </c>
      <c r="L58" s="5">
        <v>0.57860100269317605</v>
      </c>
      <c r="M58" s="5">
        <v>57.860100269317606</v>
      </c>
      <c r="N58" s="17">
        <v>1.4071764</v>
      </c>
      <c r="O58" s="21">
        <v>2.3781493999999999</v>
      </c>
      <c r="P58" s="22">
        <v>1.6900151000000001</v>
      </c>
      <c r="Q58" s="25">
        <f t="shared" si="1"/>
        <v>0.23782000000000003</v>
      </c>
      <c r="R58">
        <v>0.98875999999999997</v>
      </c>
      <c r="S58" s="24">
        <v>-0.75093999999999994</v>
      </c>
      <c r="T58">
        <f>Q58/100</f>
        <v>2.3782000000000005E-3</v>
      </c>
      <c r="U58">
        <f>R58/100</f>
        <v>9.8875999999999999E-3</v>
      </c>
      <c r="V58">
        <f>S58/100</f>
        <v>-7.5093999999999994E-3</v>
      </c>
      <c r="Y58">
        <v>0.42</v>
      </c>
      <c r="Z58" s="5">
        <f t="shared" si="3"/>
        <v>42</v>
      </c>
    </row>
    <row r="59" spans="1:26" x14ac:dyDescent="0.25">
      <c r="A59" t="s">
        <v>15</v>
      </c>
      <c r="B59">
        <v>2</v>
      </c>
      <c r="C59">
        <v>1998</v>
      </c>
      <c r="D59" s="5">
        <v>24.2</v>
      </c>
      <c r="E59" s="5">
        <v>46.2</v>
      </c>
      <c r="F59" s="5">
        <f t="shared" si="0"/>
        <v>22.000000000000004</v>
      </c>
      <c r="G59" s="7">
        <v>1.01399471</v>
      </c>
      <c r="H59" s="7">
        <v>11.414643951957386</v>
      </c>
      <c r="I59" s="8">
        <v>34220.043013000002</v>
      </c>
      <c r="J59" s="11">
        <v>5.4571810000000003</v>
      </c>
      <c r="K59" s="7">
        <v>66.967146438235631</v>
      </c>
      <c r="L59" s="5">
        <v>0.569102764129639</v>
      </c>
      <c r="M59" s="5">
        <v>56.910276412963903</v>
      </c>
      <c r="N59" s="17">
        <v>1.4011948999999999</v>
      </c>
      <c r="O59" s="21">
        <v>2.4221053000000001</v>
      </c>
      <c r="P59" s="22">
        <v>1.7285999000000001</v>
      </c>
      <c r="Q59" s="25">
        <f t="shared" si="1"/>
        <v>0</v>
      </c>
      <c r="R59">
        <v>0</v>
      </c>
      <c r="S59" s="24">
        <v>0</v>
      </c>
      <c r="T59">
        <f>Q59/100</f>
        <v>0</v>
      </c>
      <c r="U59">
        <f>R59/100</f>
        <v>0</v>
      </c>
      <c r="V59">
        <f>S59/100</f>
        <v>0</v>
      </c>
      <c r="Y59">
        <v>0.41399999999999998</v>
      </c>
      <c r="Z59" s="5">
        <f t="shared" si="3"/>
        <v>41.4</v>
      </c>
    </row>
    <row r="60" spans="1:26" x14ac:dyDescent="0.25">
      <c r="A60" t="s">
        <v>15</v>
      </c>
      <c r="B60">
        <v>2</v>
      </c>
      <c r="C60">
        <v>1999</v>
      </c>
      <c r="D60" s="5">
        <v>24.6</v>
      </c>
      <c r="E60" s="5">
        <v>46.8</v>
      </c>
      <c r="F60" s="5">
        <f t="shared" si="0"/>
        <v>22.199999999999996</v>
      </c>
      <c r="G60" s="7">
        <v>1.01162237</v>
      </c>
      <c r="H60" s="7">
        <v>10.218007625378824</v>
      </c>
      <c r="I60" s="8">
        <v>35635.757328</v>
      </c>
      <c r="J60" s="11">
        <v>4.3795760000000001</v>
      </c>
      <c r="K60" s="7">
        <v>66.239875193041058</v>
      </c>
      <c r="L60" s="5">
        <v>0.57330912351608299</v>
      </c>
      <c r="M60" s="5">
        <v>57.330912351608298</v>
      </c>
      <c r="N60" s="17">
        <v>1.3972814</v>
      </c>
      <c r="O60" s="21">
        <v>2.3630485999999999</v>
      </c>
      <c r="P60" s="22">
        <v>1.6911757999999999</v>
      </c>
      <c r="Q60" s="25">
        <f t="shared" si="1"/>
        <v>0</v>
      </c>
      <c r="R60">
        <v>0</v>
      </c>
      <c r="S60" s="24">
        <v>0</v>
      </c>
      <c r="T60">
        <f>Q60/100</f>
        <v>0</v>
      </c>
      <c r="U60">
        <f>R60/100</f>
        <v>0</v>
      </c>
      <c r="V60">
        <f>S60/100</f>
        <v>0</v>
      </c>
      <c r="Y60">
        <v>0.40799999999999997</v>
      </c>
      <c r="Z60" s="5">
        <f t="shared" si="3"/>
        <v>40.799999999999997</v>
      </c>
    </row>
    <row r="61" spans="1:26" x14ac:dyDescent="0.25">
      <c r="A61" t="s">
        <v>15</v>
      </c>
      <c r="B61">
        <v>2</v>
      </c>
      <c r="C61">
        <v>2000</v>
      </c>
      <c r="D61" s="5">
        <v>25</v>
      </c>
      <c r="E61" s="5">
        <v>47.2</v>
      </c>
      <c r="F61" s="5">
        <f t="shared" si="0"/>
        <v>22.200000000000003</v>
      </c>
      <c r="G61" s="7">
        <v>1.0304209600000001</v>
      </c>
      <c r="H61" s="7">
        <v>9.8011007048373084</v>
      </c>
      <c r="I61" s="8">
        <v>37615.221258999998</v>
      </c>
      <c r="J61" s="11">
        <v>5.7733619999999997</v>
      </c>
      <c r="K61" s="7">
        <v>74.894827106023072</v>
      </c>
      <c r="L61" s="5">
        <v>0.56625580787658703</v>
      </c>
      <c r="M61" s="5">
        <v>56.625580787658706</v>
      </c>
      <c r="N61" s="17">
        <v>1.4063080999999999</v>
      </c>
      <c r="O61" s="21">
        <v>2.4121977999999999</v>
      </c>
      <c r="P61" s="22">
        <v>1.7152696999999999</v>
      </c>
      <c r="Q61" s="25">
        <f t="shared" si="1"/>
        <v>0</v>
      </c>
      <c r="R61">
        <v>0</v>
      </c>
      <c r="S61" s="24">
        <v>0</v>
      </c>
      <c r="T61">
        <f>Q61/100</f>
        <v>0</v>
      </c>
      <c r="U61">
        <f>R61/100</f>
        <v>0</v>
      </c>
      <c r="V61">
        <f>S61/100</f>
        <v>0</v>
      </c>
      <c r="W61">
        <v>0.69591999999999998</v>
      </c>
      <c r="X61">
        <v>0.40200000000000002</v>
      </c>
      <c r="Y61">
        <v>0.40200000000000002</v>
      </c>
      <c r="Z61" s="5">
        <f t="shared" si="3"/>
        <v>40.200000000000003</v>
      </c>
    </row>
    <row r="62" spans="1:26" x14ac:dyDescent="0.25">
      <c r="A62" t="s">
        <v>15</v>
      </c>
      <c r="B62">
        <v>2</v>
      </c>
      <c r="C62">
        <v>2001</v>
      </c>
      <c r="D62" s="5">
        <v>25</v>
      </c>
      <c r="E62" s="5">
        <v>47.4</v>
      </c>
      <c r="F62" s="5">
        <f t="shared" si="0"/>
        <v>22.4</v>
      </c>
      <c r="G62" s="7">
        <v>1.02578441</v>
      </c>
      <c r="H62" s="7">
        <v>9.1257234448934152</v>
      </c>
      <c r="I62" s="8">
        <v>38509.197672000002</v>
      </c>
      <c r="J62" s="11">
        <v>2.6100189999999999</v>
      </c>
      <c r="K62" s="7">
        <v>70.276848189838759</v>
      </c>
      <c r="L62" s="5">
        <v>0.560388684272766</v>
      </c>
      <c r="M62" s="5">
        <v>56.038868427276597</v>
      </c>
      <c r="N62" s="17">
        <v>1.4135470999999999</v>
      </c>
      <c r="O62" s="21">
        <v>2.4453414000000002</v>
      </c>
      <c r="P62" s="22">
        <v>1.7299327</v>
      </c>
      <c r="Q62" s="25">
        <f t="shared" si="1"/>
        <v>0</v>
      </c>
      <c r="R62">
        <v>0</v>
      </c>
      <c r="S62" s="24">
        <v>0</v>
      </c>
      <c r="T62">
        <f>Q62/100</f>
        <v>0</v>
      </c>
      <c r="U62">
        <f>R62/100</f>
        <v>0</v>
      </c>
      <c r="V62">
        <f>S62/100</f>
        <v>0</v>
      </c>
      <c r="Y62">
        <v>0.40150000000000002</v>
      </c>
      <c r="Z62" s="5">
        <f t="shared" si="3"/>
        <v>40.150000000000006</v>
      </c>
    </row>
    <row r="63" spans="1:26" x14ac:dyDescent="0.25">
      <c r="A63" t="s">
        <v>15</v>
      </c>
      <c r="B63">
        <v>2</v>
      </c>
      <c r="C63">
        <v>2002</v>
      </c>
      <c r="D63" s="5">
        <v>24.9</v>
      </c>
      <c r="E63" s="5">
        <v>47.5</v>
      </c>
      <c r="F63" s="5">
        <f t="shared" si="0"/>
        <v>22.6</v>
      </c>
      <c r="G63" s="7">
        <v>1.01571221</v>
      </c>
      <c r="H63" s="7">
        <v>9.0896897932593728</v>
      </c>
      <c r="I63" s="8">
        <v>39071.714288000003</v>
      </c>
      <c r="J63" s="11">
        <v>1.707149</v>
      </c>
      <c r="K63" s="7">
        <v>69.299462575596351</v>
      </c>
      <c r="L63" s="5">
        <v>0.56524127721786499</v>
      </c>
      <c r="M63" s="5">
        <v>56.524127721786499</v>
      </c>
      <c r="N63" s="17">
        <v>1.4357462999999999</v>
      </c>
      <c r="O63" s="21">
        <v>2.4492848999999999</v>
      </c>
      <c r="P63" s="22">
        <v>1.7059316</v>
      </c>
      <c r="Q63" s="25">
        <f t="shared" si="1"/>
        <v>0</v>
      </c>
      <c r="R63">
        <v>0</v>
      </c>
      <c r="S63" s="24">
        <v>0</v>
      </c>
      <c r="T63">
        <f>Q63/100</f>
        <v>0</v>
      </c>
      <c r="U63">
        <f>R63/100</f>
        <v>0</v>
      </c>
      <c r="V63">
        <f>S63/100</f>
        <v>0</v>
      </c>
      <c r="Y63">
        <v>0.40100000000000002</v>
      </c>
      <c r="Z63" s="5">
        <f t="shared" si="3"/>
        <v>40.1</v>
      </c>
    </row>
    <row r="64" spans="1:26" x14ac:dyDescent="0.25">
      <c r="A64" t="s">
        <v>15</v>
      </c>
      <c r="B64">
        <v>2</v>
      </c>
      <c r="C64">
        <v>2003</v>
      </c>
      <c r="D64" s="5">
        <v>25.1</v>
      </c>
      <c r="E64" s="5">
        <v>47.7</v>
      </c>
      <c r="F64" s="5">
        <f t="shared" si="0"/>
        <v>22.6</v>
      </c>
      <c r="G64" s="7">
        <v>1.0087743849999999</v>
      </c>
      <c r="H64" s="7">
        <v>9.0290132420398699</v>
      </c>
      <c r="I64" s="8">
        <v>39759.826172000001</v>
      </c>
      <c r="J64" s="11">
        <v>2.003784</v>
      </c>
      <c r="K64" s="7">
        <v>68.055802674152716</v>
      </c>
      <c r="L64" s="5">
        <v>0.56926673650741599</v>
      </c>
      <c r="M64" s="5">
        <v>56.926673650741598</v>
      </c>
      <c r="N64" s="17">
        <v>1.4067841000000001</v>
      </c>
      <c r="O64" s="21">
        <v>2.4258479999999998</v>
      </c>
      <c r="P64" s="22">
        <v>1.7243926000000001</v>
      </c>
      <c r="Q64" s="25">
        <f t="shared" si="1"/>
        <v>0</v>
      </c>
      <c r="R64">
        <v>0</v>
      </c>
      <c r="S64" s="24">
        <v>0</v>
      </c>
      <c r="T64">
        <f>Q64/100</f>
        <v>0</v>
      </c>
      <c r="U64">
        <f>R64/100</f>
        <v>0</v>
      </c>
      <c r="V64">
        <f>S64/100</f>
        <v>0</v>
      </c>
      <c r="Y64">
        <v>0.40050000000000002</v>
      </c>
      <c r="Z64" s="5">
        <f t="shared" si="3"/>
        <v>40.050000000000004</v>
      </c>
    </row>
    <row r="65" spans="1:26" x14ac:dyDescent="0.25">
      <c r="A65" t="s">
        <v>15</v>
      </c>
      <c r="B65">
        <v>2</v>
      </c>
      <c r="C65">
        <v>2004</v>
      </c>
      <c r="D65" s="5">
        <v>25.4</v>
      </c>
      <c r="E65" s="5">
        <v>47.9</v>
      </c>
      <c r="F65" s="5">
        <f t="shared" si="0"/>
        <v>22.5</v>
      </c>
      <c r="G65" s="7">
        <v>1.001871234</v>
      </c>
      <c r="H65" s="7">
        <v>8.8231891881470617</v>
      </c>
      <c r="I65" s="8">
        <v>41226.865951</v>
      </c>
      <c r="J65" s="11">
        <v>3.9920909999999998</v>
      </c>
      <c r="K65" s="7">
        <v>70.960203580292017</v>
      </c>
      <c r="L65" s="5">
        <v>0.56399136781692505</v>
      </c>
      <c r="M65" s="5">
        <v>56.399136781692505</v>
      </c>
      <c r="N65" s="17">
        <v>1.4275085000000001</v>
      </c>
      <c r="O65" s="21">
        <v>2.4159964</v>
      </c>
      <c r="P65" s="22">
        <v>1.6924566999999999</v>
      </c>
      <c r="Q65" s="25">
        <f t="shared" si="1"/>
        <v>0</v>
      </c>
      <c r="R65">
        <v>0</v>
      </c>
      <c r="S65" s="24">
        <v>0</v>
      </c>
      <c r="T65">
        <f>Q65/100</f>
        <v>0</v>
      </c>
      <c r="U65">
        <f>R65/100</f>
        <v>0</v>
      </c>
      <c r="V65">
        <f>S65/100</f>
        <v>0</v>
      </c>
      <c r="W65">
        <v>0.69594999999999996</v>
      </c>
      <c r="X65">
        <v>0.4</v>
      </c>
      <c r="Y65">
        <v>0.4</v>
      </c>
      <c r="Z65" s="5">
        <f t="shared" si="3"/>
        <v>40</v>
      </c>
    </row>
    <row r="66" spans="1:26" x14ac:dyDescent="0.25">
      <c r="A66" t="s">
        <v>15</v>
      </c>
      <c r="B66">
        <v>2</v>
      </c>
      <c r="C66">
        <v>2005</v>
      </c>
      <c r="D66" s="5">
        <v>25.4</v>
      </c>
      <c r="E66" s="5">
        <v>48.2</v>
      </c>
      <c r="F66" s="5">
        <f t="shared" ref="F66:F129" si="4">E66-D66</f>
        <v>22.800000000000004</v>
      </c>
      <c r="G66" s="7">
        <v>1.006238712</v>
      </c>
      <c r="H66" s="7">
        <v>8.3829421866056109</v>
      </c>
      <c r="I66" s="8">
        <v>42228.332362000001</v>
      </c>
      <c r="J66" s="11">
        <v>2.7798509999999998</v>
      </c>
      <c r="K66" s="7">
        <v>76.579207830612006</v>
      </c>
      <c r="L66" s="5">
        <v>0.57283180952072099</v>
      </c>
      <c r="M66" s="5">
        <v>57.283180952072101</v>
      </c>
      <c r="N66" s="17">
        <v>1.4201363</v>
      </c>
      <c r="O66" s="21">
        <v>2.4866853</v>
      </c>
      <c r="P66" s="22">
        <v>1.7510186999999999</v>
      </c>
      <c r="Q66" s="25">
        <f t="shared" si="1"/>
        <v>0</v>
      </c>
      <c r="R66">
        <v>0</v>
      </c>
      <c r="S66" s="24">
        <v>0</v>
      </c>
      <c r="T66">
        <f>Q66/100</f>
        <v>0</v>
      </c>
      <c r="U66">
        <f>R66/100</f>
        <v>0</v>
      </c>
      <c r="V66">
        <f>S66/100</f>
        <v>0</v>
      </c>
      <c r="Y66">
        <v>0.4</v>
      </c>
      <c r="Z66" s="5">
        <f t="shared" si="3"/>
        <v>40</v>
      </c>
    </row>
    <row r="67" spans="1:26" x14ac:dyDescent="0.25">
      <c r="A67" t="s">
        <v>15</v>
      </c>
      <c r="B67">
        <v>2</v>
      </c>
      <c r="C67">
        <v>2006</v>
      </c>
      <c r="D67" s="5">
        <v>25.6</v>
      </c>
      <c r="E67" s="5">
        <v>48.3</v>
      </c>
      <c r="F67" s="5">
        <f t="shared" si="4"/>
        <v>22.699999999999996</v>
      </c>
      <c r="G67" s="7">
        <v>1.0156666700000001</v>
      </c>
      <c r="H67" s="7">
        <v>7.7185263515682543</v>
      </c>
      <c r="I67" s="8">
        <v>43760.541234999997</v>
      </c>
      <c r="J67" s="11">
        <v>4.0274099999999997</v>
      </c>
      <c r="K67" s="7">
        <v>81.98349306234347</v>
      </c>
      <c r="L67" s="5">
        <v>0.57486647367477395</v>
      </c>
      <c r="M67" s="5">
        <v>57.486647367477396</v>
      </c>
      <c r="N67" s="17">
        <v>1.4317116000000001</v>
      </c>
      <c r="O67" s="21">
        <v>2.4699890999999998</v>
      </c>
      <c r="P67" s="22">
        <v>1.7252002</v>
      </c>
      <c r="Q67" s="25">
        <f t="shared" ref="Q67:Q130" si="5">R67+S67</f>
        <v>0</v>
      </c>
      <c r="R67">
        <v>0</v>
      </c>
      <c r="S67" s="24">
        <v>0</v>
      </c>
      <c r="T67">
        <f>Q67/100</f>
        <v>0</v>
      </c>
      <c r="U67">
        <f>R67/100</f>
        <v>0</v>
      </c>
      <c r="V67">
        <f>S67/100</f>
        <v>0</v>
      </c>
      <c r="Y67">
        <v>0.4</v>
      </c>
      <c r="Z67" s="5">
        <f t="shared" si="3"/>
        <v>40</v>
      </c>
    </row>
    <row r="68" spans="1:26" x14ac:dyDescent="0.25">
      <c r="A68" t="s">
        <v>15</v>
      </c>
      <c r="B68">
        <v>2</v>
      </c>
      <c r="C68">
        <v>2007</v>
      </c>
      <c r="D68" s="5">
        <v>25.7</v>
      </c>
      <c r="E68" s="5">
        <v>48.1</v>
      </c>
      <c r="F68" s="5">
        <f t="shared" si="4"/>
        <v>22.400000000000002</v>
      </c>
      <c r="G68" s="7">
        <v>1.0251066600000001</v>
      </c>
      <c r="H68" s="7">
        <v>6.8542696660716453</v>
      </c>
      <c r="I68" s="8">
        <v>45884.392115000002</v>
      </c>
      <c r="J68" s="11">
        <v>5.2993370000000004</v>
      </c>
      <c r="K68" s="7">
        <v>82.857402497434137</v>
      </c>
      <c r="L68" s="5">
        <v>0.55915278196334794</v>
      </c>
      <c r="M68" s="5">
        <v>55.915278196334796</v>
      </c>
      <c r="N68" s="17">
        <v>1.4479529</v>
      </c>
      <c r="O68" s="21">
        <v>2.5528354000000002</v>
      </c>
      <c r="P68" s="22">
        <v>1.7630652</v>
      </c>
      <c r="Q68" s="25">
        <f t="shared" si="5"/>
        <v>0</v>
      </c>
      <c r="R68">
        <v>0</v>
      </c>
      <c r="S68" s="24">
        <v>0</v>
      </c>
      <c r="T68">
        <f>Q68/100</f>
        <v>0</v>
      </c>
      <c r="U68">
        <f>R68/100</f>
        <v>0</v>
      </c>
      <c r="V68">
        <f>S68/100</f>
        <v>0</v>
      </c>
      <c r="W68">
        <v>0.69037000000000004</v>
      </c>
      <c r="X68">
        <v>0.4</v>
      </c>
      <c r="Y68">
        <v>0.4</v>
      </c>
      <c r="Z68" s="5">
        <f t="shared" si="3"/>
        <v>40</v>
      </c>
    </row>
    <row r="69" spans="1:26" x14ac:dyDescent="0.25">
      <c r="A69" t="s">
        <v>15</v>
      </c>
      <c r="B69">
        <v>2</v>
      </c>
      <c r="C69">
        <v>2008</v>
      </c>
      <c r="D69" s="5">
        <v>25.4</v>
      </c>
      <c r="E69" s="5">
        <v>48.1</v>
      </c>
      <c r="F69" s="5">
        <f t="shared" si="4"/>
        <v>22.700000000000003</v>
      </c>
      <c r="G69" s="7">
        <v>1.0406595199999999</v>
      </c>
      <c r="H69" s="7">
        <v>6.367806736834317</v>
      </c>
      <c r="I69" s="8">
        <v>46029.15193</v>
      </c>
      <c r="J69" s="11">
        <v>0.783995</v>
      </c>
      <c r="K69" s="7">
        <v>86.184335829923043</v>
      </c>
      <c r="L69" s="5">
        <v>0.57032293081283603</v>
      </c>
      <c r="M69" s="5">
        <v>57.032293081283605</v>
      </c>
      <c r="N69" s="17">
        <v>1.4599598</v>
      </c>
      <c r="O69" s="21">
        <v>2.5661078000000002</v>
      </c>
      <c r="P69" s="22">
        <v>1.7576565</v>
      </c>
      <c r="Q69" s="25">
        <f t="shared" si="5"/>
        <v>0</v>
      </c>
      <c r="R69">
        <v>0</v>
      </c>
      <c r="S69" s="24">
        <v>0</v>
      </c>
      <c r="T69">
        <f>Q69/100</f>
        <v>0</v>
      </c>
      <c r="U69">
        <f>R69/100</f>
        <v>0</v>
      </c>
      <c r="V69">
        <f>S69/100</f>
        <v>0</v>
      </c>
      <c r="Y69">
        <v>0.40166666666666601</v>
      </c>
      <c r="Z69" s="5">
        <f t="shared" si="3"/>
        <v>40.1666666666666</v>
      </c>
    </row>
    <row r="70" spans="1:26" x14ac:dyDescent="0.25">
      <c r="A70" t="s">
        <v>15</v>
      </c>
      <c r="B70">
        <v>2</v>
      </c>
      <c r="C70">
        <v>2009</v>
      </c>
      <c r="D70" s="5">
        <v>25.2</v>
      </c>
      <c r="E70" s="5">
        <v>48.1</v>
      </c>
      <c r="F70" s="5">
        <f t="shared" si="4"/>
        <v>22.900000000000002</v>
      </c>
      <c r="G70" s="7">
        <v>0.99999999999999989</v>
      </c>
      <c r="H70" s="7">
        <v>8.2498669827964424</v>
      </c>
      <c r="I70" s="8">
        <v>42110.456300999998</v>
      </c>
      <c r="J70" s="11">
        <v>-8.0744469999999993</v>
      </c>
      <c r="K70" s="7">
        <v>70.123303273231471</v>
      </c>
      <c r="L70" s="5">
        <v>0.60791313648223899</v>
      </c>
      <c r="M70" s="5">
        <v>60.791313648223898</v>
      </c>
      <c r="N70" s="17">
        <v>1.4732512</v>
      </c>
      <c r="O70" s="21">
        <v>2.5921688999999999</v>
      </c>
      <c r="P70" s="22">
        <v>1.7594888</v>
      </c>
      <c r="Q70" s="25">
        <f t="shared" si="5"/>
        <v>0</v>
      </c>
      <c r="R70">
        <v>0</v>
      </c>
      <c r="S70" s="24">
        <v>0</v>
      </c>
      <c r="T70">
        <f>Q70/100</f>
        <v>0</v>
      </c>
      <c r="U70">
        <f>R70/100</f>
        <v>0</v>
      </c>
      <c r="V70">
        <f>S70/100</f>
        <v>0</v>
      </c>
      <c r="Y70">
        <v>0.40333333333333299</v>
      </c>
      <c r="Z70" s="5">
        <f t="shared" si="3"/>
        <v>40.3333333333333</v>
      </c>
    </row>
    <row r="71" spans="1:26" x14ac:dyDescent="0.25">
      <c r="A71" t="s">
        <v>15</v>
      </c>
      <c r="B71">
        <v>2</v>
      </c>
      <c r="C71">
        <v>2010</v>
      </c>
      <c r="D71" s="5">
        <v>25.6</v>
      </c>
      <c r="E71" s="5">
        <v>48.4</v>
      </c>
      <c r="F71" s="5">
        <f t="shared" si="4"/>
        <v>22.799999999999997</v>
      </c>
      <c r="G71" s="7">
        <v>1.0118413500000001</v>
      </c>
      <c r="H71" s="7">
        <v>8.395246561242633</v>
      </c>
      <c r="I71" s="8">
        <v>43253.589026000001</v>
      </c>
      <c r="J71" s="11">
        <v>3.185959</v>
      </c>
      <c r="K71" s="7">
        <v>75.464407392249512</v>
      </c>
      <c r="L71" s="5">
        <v>0.59679406881332397</v>
      </c>
      <c r="M71" s="5">
        <v>59.679406881332397</v>
      </c>
      <c r="N71" s="17">
        <v>1.4496667000000001</v>
      </c>
      <c r="O71" s="21">
        <v>2.5187083000000001</v>
      </c>
      <c r="P71" s="22">
        <v>1.7374396000000001</v>
      </c>
      <c r="Q71" s="25">
        <f t="shared" si="5"/>
        <v>0</v>
      </c>
      <c r="R71">
        <v>0</v>
      </c>
      <c r="S71" s="24">
        <v>0</v>
      </c>
      <c r="T71">
        <f>Q71/100</f>
        <v>0</v>
      </c>
      <c r="U71">
        <f>R71/100</f>
        <v>0</v>
      </c>
      <c r="V71">
        <f>S71/100</f>
        <v>0</v>
      </c>
      <c r="W71">
        <v>0.70115000000000005</v>
      </c>
      <c r="X71">
        <v>0.40500000000000003</v>
      </c>
      <c r="Y71">
        <v>0.40500000000000003</v>
      </c>
      <c r="Z71" s="5">
        <f t="shared" si="3"/>
        <v>40.5</v>
      </c>
    </row>
    <row r="72" spans="1:26" x14ac:dyDescent="0.25">
      <c r="A72" t="s">
        <v>15</v>
      </c>
      <c r="B72">
        <v>2</v>
      </c>
      <c r="C72">
        <v>2011</v>
      </c>
      <c r="D72" s="5">
        <v>25.5</v>
      </c>
      <c r="E72" s="5">
        <v>48.5</v>
      </c>
      <c r="F72" s="5">
        <f t="shared" si="4"/>
        <v>23</v>
      </c>
      <c r="G72" s="7">
        <v>1.0341680900000001</v>
      </c>
      <c r="H72" s="7">
        <v>7.7813504823151121</v>
      </c>
      <c r="I72" s="8">
        <v>44150.573048999999</v>
      </c>
      <c r="J72" s="11">
        <v>2.5476649999999998</v>
      </c>
      <c r="K72" s="7">
        <v>78.579581611935481</v>
      </c>
      <c r="L72" s="5">
        <v>0.60006916522979703</v>
      </c>
      <c r="M72" s="5">
        <v>60.006916522979701</v>
      </c>
      <c r="N72" s="17">
        <v>1.4799852</v>
      </c>
      <c r="O72" s="21">
        <v>2.5841938999999998</v>
      </c>
      <c r="P72" s="22">
        <v>1.7460944</v>
      </c>
      <c r="Q72" s="25">
        <f t="shared" si="5"/>
        <v>0.64631000000000005</v>
      </c>
      <c r="R72">
        <v>0</v>
      </c>
      <c r="S72" s="24">
        <v>0.64631000000000005</v>
      </c>
      <c r="T72">
        <f>Q72/100</f>
        <v>6.4631000000000003E-3</v>
      </c>
      <c r="U72">
        <f>R72/100</f>
        <v>0</v>
      </c>
      <c r="V72">
        <f>S72/100</f>
        <v>6.4631000000000003E-3</v>
      </c>
      <c r="Y72">
        <v>0.40500000000000003</v>
      </c>
      <c r="Z72" s="5">
        <f t="shared" si="3"/>
        <v>40.5</v>
      </c>
    </row>
    <row r="73" spans="1:26" x14ac:dyDescent="0.25">
      <c r="A73" t="s">
        <v>15</v>
      </c>
      <c r="B73">
        <v>2</v>
      </c>
      <c r="C73">
        <v>2012</v>
      </c>
      <c r="D73" s="5">
        <v>25.3</v>
      </c>
      <c r="E73" s="5">
        <v>48.4</v>
      </c>
      <c r="F73" s="5">
        <f t="shared" si="4"/>
        <v>23.099999999999998</v>
      </c>
      <c r="G73" s="7">
        <v>1.0280833199999999</v>
      </c>
      <c r="H73" s="7">
        <v>7.6884473481222644</v>
      </c>
      <c r="I73" s="8">
        <v>43326.896921</v>
      </c>
      <c r="J73" s="11">
        <v>-1.397546</v>
      </c>
      <c r="K73" s="7">
        <v>79.170500952560971</v>
      </c>
      <c r="L73" s="5">
        <v>0.61398357152938798</v>
      </c>
      <c r="M73" s="5">
        <v>61.3983571529388</v>
      </c>
      <c r="N73" s="17">
        <v>1.4706626</v>
      </c>
      <c r="O73" s="21">
        <v>2.5437889999999999</v>
      </c>
      <c r="P73" s="22">
        <v>1.7296891000000001</v>
      </c>
      <c r="Q73" s="25">
        <f t="shared" si="5"/>
        <v>0.29666999999999999</v>
      </c>
      <c r="R73">
        <v>0.22909000000000002</v>
      </c>
      <c r="S73" s="24">
        <v>6.7579999999999987E-2</v>
      </c>
      <c r="T73">
        <f>Q73/100</f>
        <v>2.9667000000000001E-3</v>
      </c>
      <c r="U73">
        <f>R73/100</f>
        <v>2.2909000000000002E-3</v>
      </c>
      <c r="V73">
        <f>S73/100</f>
        <v>6.7579999999999984E-4</v>
      </c>
      <c r="Y73">
        <v>0.40500000000000003</v>
      </c>
      <c r="Z73" s="5">
        <f t="shared" si="3"/>
        <v>40.5</v>
      </c>
    </row>
    <row r="74" spans="1:26" x14ac:dyDescent="0.25">
      <c r="A74" t="s">
        <v>15</v>
      </c>
      <c r="B74">
        <v>2</v>
      </c>
      <c r="C74">
        <v>2013</v>
      </c>
      <c r="D74" s="5">
        <v>25.6</v>
      </c>
      <c r="E74" s="5">
        <v>48.8</v>
      </c>
      <c r="F74" s="5">
        <f t="shared" si="4"/>
        <v>23.199999999999996</v>
      </c>
      <c r="G74" s="7">
        <v>1.0147828800000001</v>
      </c>
      <c r="H74" s="7">
        <v>8.1932753482375578</v>
      </c>
      <c r="I74" s="8">
        <v>42738.866421999999</v>
      </c>
      <c r="J74" s="11">
        <v>-0.90169600000000005</v>
      </c>
      <c r="K74" s="7">
        <v>77.09388658042981</v>
      </c>
      <c r="L74" s="5">
        <v>0.61039900779724099</v>
      </c>
      <c r="M74" s="5">
        <v>61.0399007797241</v>
      </c>
      <c r="N74" s="17">
        <v>1.4772904</v>
      </c>
      <c r="O74" s="21">
        <v>2.5545730999999998</v>
      </c>
      <c r="P74" s="22">
        <v>1.7292287</v>
      </c>
      <c r="Q74" s="25">
        <f t="shared" si="5"/>
        <v>1.2276199999999997</v>
      </c>
      <c r="R74">
        <v>0.19453999999999999</v>
      </c>
      <c r="S74" s="24">
        <v>1.0330799999999998</v>
      </c>
      <c r="T74">
        <f>Q74/100</f>
        <v>1.2276199999999998E-2</v>
      </c>
      <c r="U74">
        <f>R74/100</f>
        <v>1.9453999999999999E-3</v>
      </c>
      <c r="V74">
        <f>S74/100</f>
        <v>1.0330799999999998E-2</v>
      </c>
      <c r="W74">
        <v>0.70428999999999997</v>
      </c>
      <c r="X74">
        <v>0.40500000000000003</v>
      </c>
      <c r="Y74">
        <v>0.40500000000000003</v>
      </c>
      <c r="Z74" s="5">
        <f t="shared" si="3"/>
        <v>40.5</v>
      </c>
    </row>
    <row r="75" spans="1:26" x14ac:dyDescent="0.25">
      <c r="A75" t="s">
        <v>15</v>
      </c>
      <c r="B75">
        <v>2</v>
      </c>
      <c r="C75">
        <v>2014</v>
      </c>
      <c r="D75" s="5">
        <v>25.3</v>
      </c>
      <c r="E75" s="5">
        <v>48.6</v>
      </c>
      <c r="F75" s="5">
        <f t="shared" si="4"/>
        <v>23.3</v>
      </c>
      <c r="G75" s="7">
        <v>1.0104120000000001</v>
      </c>
      <c r="H75" s="7">
        <v>8.6626295802114335</v>
      </c>
      <c r="I75" s="8">
        <v>42399.714605000001</v>
      </c>
      <c r="J75" s="11">
        <v>-0.36490800000000001</v>
      </c>
      <c r="K75" s="7">
        <v>74.112722755767351</v>
      </c>
      <c r="L75" s="5">
        <v>0.60129684209823597</v>
      </c>
      <c r="M75" s="5">
        <v>60.129684209823594</v>
      </c>
      <c r="N75" s="17">
        <v>1.4625657999999999</v>
      </c>
      <c r="O75" s="21">
        <v>2.5678852000000001</v>
      </c>
      <c r="P75" s="22">
        <v>1.7557399</v>
      </c>
      <c r="Q75" s="25">
        <f t="shared" si="5"/>
        <v>0.31838</v>
      </c>
      <c r="R75">
        <v>0.23771999999999999</v>
      </c>
      <c r="S75" s="24">
        <v>8.0660000000000009E-2</v>
      </c>
      <c r="T75">
        <f>Q75/100</f>
        <v>3.1838000000000001E-3</v>
      </c>
      <c r="U75">
        <f>R75/100</f>
        <v>2.3771999999999999E-3</v>
      </c>
      <c r="V75">
        <f>S75/100</f>
        <v>8.0660000000000009E-4</v>
      </c>
    </row>
    <row r="76" spans="1:26" x14ac:dyDescent="0.25">
      <c r="A76" t="s">
        <v>16</v>
      </c>
      <c r="B76">
        <v>3</v>
      </c>
      <c r="C76">
        <v>1978</v>
      </c>
      <c r="D76" s="5">
        <v>23.6</v>
      </c>
      <c r="E76" s="5">
        <v>35.5</v>
      </c>
      <c r="F76" s="5">
        <f t="shared" si="4"/>
        <v>11.899999999999999</v>
      </c>
      <c r="G76" s="7">
        <v>1.042</v>
      </c>
      <c r="H76" s="7">
        <v>2.2371194795348313</v>
      </c>
      <c r="I76" s="8">
        <v>21150.215347000001</v>
      </c>
      <c r="J76" s="12">
        <v>5.2719420000000001</v>
      </c>
      <c r="K76" s="7">
        <v>19.727307276949034</v>
      </c>
      <c r="L76" s="5">
        <v>0.62052792310714699</v>
      </c>
      <c r="M76" s="5">
        <v>62.0527923107147</v>
      </c>
      <c r="N76" s="17">
        <v>1.690709</v>
      </c>
      <c r="O76" s="21">
        <v>2.9767725999999999</v>
      </c>
      <c r="P76" s="22">
        <v>1.7606652</v>
      </c>
      <c r="Q76" s="25">
        <f t="shared" si="5"/>
        <v>0</v>
      </c>
      <c r="R76">
        <v>0</v>
      </c>
      <c r="S76" s="24">
        <v>0</v>
      </c>
      <c r="T76">
        <f>Q76/100</f>
        <v>0</v>
      </c>
      <c r="U76">
        <f>R76/100</f>
        <v>0</v>
      </c>
      <c r="V76">
        <f>S76/100</f>
        <v>0</v>
      </c>
    </row>
    <row r="77" spans="1:26" x14ac:dyDescent="0.25">
      <c r="A77" t="s">
        <v>16</v>
      </c>
      <c r="B77">
        <v>3</v>
      </c>
      <c r="C77">
        <v>1979</v>
      </c>
      <c r="D77" s="5">
        <v>23.6</v>
      </c>
      <c r="E77" s="5">
        <v>35.6</v>
      </c>
      <c r="F77" s="5">
        <f t="shared" si="4"/>
        <v>12</v>
      </c>
      <c r="G77" s="7">
        <v>1.0369999999999999</v>
      </c>
      <c r="H77" s="7">
        <v>2.0847608729332059</v>
      </c>
      <c r="I77" s="8">
        <v>22125.275476999999</v>
      </c>
      <c r="J77" s="12">
        <v>5.4840419999999996</v>
      </c>
      <c r="K77" s="7">
        <v>23.144075477620309</v>
      </c>
      <c r="L77" s="5">
        <v>0.62052792310714699</v>
      </c>
      <c r="M77" s="5">
        <v>62.0527923107147</v>
      </c>
      <c r="N77" s="17">
        <v>1.7114486</v>
      </c>
      <c r="O77" s="21">
        <v>3.0070093</v>
      </c>
      <c r="P77" s="22">
        <v>1.7569965999999999</v>
      </c>
      <c r="Q77" s="25">
        <f t="shared" si="5"/>
        <v>0.12069000000000001</v>
      </c>
      <c r="R77">
        <v>0</v>
      </c>
      <c r="S77" s="24">
        <v>0.12069000000000001</v>
      </c>
      <c r="T77">
        <f>Q77/100</f>
        <v>1.2069000000000001E-3</v>
      </c>
      <c r="U77">
        <f>R77/100</f>
        <v>0</v>
      </c>
      <c r="V77">
        <f>S77/100</f>
        <v>1.2069000000000001E-3</v>
      </c>
    </row>
    <row r="78" spans="1:26" x14ac:dyDescent="0.25">
      <c r="A78" t="s">
        <v>16</v>
      </c>
      <c r="B78">
        <v>3</v>
      </c>
      <c r="C78">
        <v>1980</v>
      </c>
      <c r="D78" s="5">
        <v>23.9</v>
      </c>
      <c r="E78" s="5">
        <v>36</v>
      </c>
      <c r="F78" s="5">
        <f t="shared" si="4"/>
        <v>12.100000000000001</v>
      </c>
      <c r="G78" s="7">
        <v>1.077</v>
      </c>
      <c r="H78" s="7">
        <v>2.0177287560153538</v>
      </c>
      <c r="I78" s="8">
        <v>22569.490522</v>
      </c>
      <c r="J78" s="12">
        <v>2.8175910000000002</v>
      </c>
      <c r="K78" s="7">
        <v>27.227761683173334</v>
      </c>
      <c r="L78" s="5">
        <v>0.62052792310714699</v>
      </c>
      <c r="M78" s="5">
        <v>62.0527923107147</v>
      </c>
      <c r="N78" s="17">
        <v>1.7078774999999999</v>
      </c>
      <c r="O78" s="21">
        <v>2.9989059</v>
      </c>
      <c r="P78" s="22">
        <v>1.7559256999999999</v>
      </c>
      <c r="Q78" s="25">
        <f t="shared" si="5"/>
        <v>0.22995000000000002</v>
      </c>
      <c r="R78">
        <v>0</v>
      </c>
      <c r="S78" s="24">
        <v>0.22995000000000002</v>
      </c>
      <c r="T78">
        <f>Q78/100</f>
        <v>2.2995000000000003E-3</v>
      </c>
      <c r="U78">
        <f>R78/100</f>
        <v>0</v>
      </c>
      <c r="V78">
        <f>S78/100</f>
        <v>2.2995000000000003E-3</v>
      </c>
    </row>
    <row r="79" spans="1:26" x14ac:dyDescent="0.25">
      <c r="A79" t="s">
        <v>16</v>
      </c>
      <c r="B79">
        <v>3</v>
      </c>
      <c r="C79">
        <v>1981</v>
      </c>
      <c r="D79" s="5">
        <v>24.3</v>
      </c>
      <c r="E79" s="5">
        <v>36.4</v>
      </c>
      <c r="F79" s="5">
        <f t="shared" si="4"/>
        <v>12.099999999999998</v>
      </c>
      <c r="G79" s="7">
        <v>1.0489999999999999</v>
      </c>
      <c r="H79" s="7">
        <v>2.2061941505237832</v>
      </c>
      <c r="I79" s="8">
        <v>23363.043900000001</v>
      </c>
      <c r="J79" s="12">
        <v>4.260624</v>
      </c>
      <c r="K79" s="7">
        <v>27.628875719923357</v>
      </c>
      <c r="L79" s="5">
        <v>0.61841046810150102</v>
      </c>
      <c r="M79" s="5">
        <v>61.841046810150104</v>
      </c>
      <c r="N79" s="17">
        <v>1.7206646000000001</v>
      </c>
      <c r="O79" s="21">
        <v>3.0415369000000001</v>
      </c>
      <c r="P79" s="22">
        <v>1.7676524</v>
      </c>
      <c r="Q79" s="25">
        <f t="shared" si="5"/>
        <v>0.43639</v>
      </c>
      <c r="R79">
        <v>0</v>
      </c>
      <c r="S79" s="24">
        <v>0.43639</v>
      </c>
      <c r="T79">
        <f>Q79/100</f>
        <v>4.3639000000000004E-3</v>
      </c>
      <c r="U79">
        <f>R79/100</f>
        <v>0</v>
      </c>
      <c r="V79">
        <f>S79/100</f>
        <v>4.3639000000000004E-3</v>
      </c>
    </row>
    <row r="80" spans="1:26" x14ac:dyDescent="0.25">
      <c r="A80" t="s">
        <v>16</v>
      </c>
      <c r="B80">
        <v>3</v>
      </c>
      <c r="C80">
        <v>1982</v>
      </c>
      <c r="D80" s="5">
        <v>24.6</v>
      </c>
      <c r="E80" s="5">
        <v>36.9</v>
      </c>
      <c r="F80" s="5">
        <f t="shared" si="4"/>
        <v>12.299999999999997</v>
      </c>
      <c r="G80" s="7">
        <v>1.028</v>
      </c>
      <c r="H80" s="7">
        <v>2.3538754594385649</v>
      </c>
      <c r="I80" s="8">
        <v>23961.422264000001</v>
      </c>
      <c r="J80" s="12">
        <v>3.2797429999999999</v>
      </c>
      <c r="K80" s="7">
        <v>27.293245854300697</v>
      </c>
      <c r="L80" s="5">
        <v>0.62244915962219205</v>
      </c>
      <c r="M80" s="5">
        <v>62.244915962219203</v>
      </c>
      <c r="N80" s="17">
        <v>1.7205154</v>
      </c>
      <c r="O80" s="21">
        <v>3.0812686</v>
      </c>
      <c r="P80" s="22">
        <v>1.7908986</v>
      </c>
      <c r="Q80" s="25">
        <f t="shared" si="5"/>
        <v>0.99958999999999998</v>
      </c>
      <c r="R80">
        <v>0.68415999999999999</v>
      </c>
      <c r="S80" s="24">
        <v>0.31542999999999999</v>
      </c>
      <c r="T80">
        <f>Q80/100</f>
        <v>9.9959000000000003E-3</v>
      </c>
      <c r="U80">
        <f>R80/100</f>
        <v>6.8415999999999998E-3</v>
      </c>
      <c r="V80">
        <f>S80/100</f>
        <v>3.1543000000000001E-3</v>
      </c>
    </row>
    <row r="81" spans="1:22" x14ac:dyDescent="0.25">
      <c r="A81" t="s">
        <v>16</v>
      </c>
      <c r="B81">
        <v>3</v>
      </c>
      <c r="C81">
        <v>1983</v>
      </c>
      <c r="D81" s="5">
        <v>25.1</v>
      </c>
      <c r="E81" s="5">
        <v>37.4</v>
      </c>
      <c r="F81" s="5">
        <f t="shared" si="4"/>
        <v>12.299999999999997</v>
      </c>
      <c r="G81" s="7">
        <v>1.0189999999999999</v>
      </c>
      <c r="H81" s="7">
        <v>2.6506088136993231</v>
      </c>
      <c r="I81" s="8">
        <v>24663.423253000001</v>
      </c>
      <c r="J81" s="12">
        <v>3.6301990000000002</v>
      </c>
      <c r="K81" s="7">
        <v>25.060183763235095</v>
      </c>
      <c r="L81" s="5">
        <v>0.62603956460952803</v>
      </c>
      <c r="M81" s="5">
        <v>62.603956460952801</v>
      </c>
      <c r="N81" s="17">
        <v>1.7157996</v>
      </c>
      <c r="O81" s="21">
        <v>3.1194605000000002</v>
      </c>
      <c r="P81" s="22">
        <v>1.8180797</v>
      </c>
      <c r="Q81" s="25">
        <f t="shared" si="5"/>
        <v>0.39373000000000002</v>
      </c>
      <c r="R81">
        <v>0.33869000000000005</v>
      </c>
      <c r="S81" s="24">
        <v>5.5039999999999999E-2</v>
      </c>
      <c r="T81">
        <f>Q81/100</f>
        <v>3.9373000000000003E-3</v>
      </c>
      <c r="U81">
        <f>R81/100</f>
        <v>3.3869000000000004E-3</v>
      </c>
      <c r="V81">
        <f>S81/100</f>
        <v>5.5039999999999993E-4</v>
      </c>
    </row>
    <row r="82" spans="1:22" x14ac:dyDescent="0.25">
      <c r="A82" t="s">
        <v>16</v>
      </c>
      <c r="B82">
        <v>3</v>
      </c>
      <c r="C82">
        <v>1984</v>
      </c>
      <c r="D82" s="5">
        <v>25.7</v>
      </c>
      <c r="E82" s="5">
        <v>38</v>
      </c>
      <c r="F82" s="5">
        <f t="shared" si="4"/>
        <v>12.3</v>
      </c>
      <c r="G82" s="7">
        <v>1.0229999999999999</v>
      </c>
      <c r="H82" s="7">
        <v>2.7135321033972359</v>
      </c>
      <c r="I82" s="8">
        <v>25586.692767</v>
      </c>
      <c r="J82" s="12">
        <v>4.4108799999999997</v>
      </c>
      <c r="K82" s="7">
        <v>26.340615682240799</v>
      </c>
      <c r="L82" s="5">
        <v>0.614821076393127</v>
      </c>
      <c r="M82" s="5">
        <v>61.482107639312702</v>
      </c>
      <c r="N82" s="17">
        <v>1.7168224000000001</v>
      </c>
      <c r="O82" s="21">
        <v>3.1457944000000002</v>
      </c>
      <c r="P82" s="22">
        <v>1.8323353</v>
      </c>
      <c r="Q82" s="25">
        <f t="shared" si="5"/>
        <v>0</v>
      </c>
      <c r="R82">
        <v>0</v>
      </c>
      <c r="S82" s="24">
        <v>0</v>
      </c>
      <c r="T82">
        <f>Q82/100</f>
        <v>0</v>
      </c>
      <c r="U82">
        <f>R82/100</f>
        <v>0</v>
      </c>
      <c r="V82">
        <f>S82/100</f>
        <v>0</v>
      </c>
    </row>
    <row r="83" spans="1:22" x14ac:dyDescent="0.25">
      <c r="A83" t="s">
        <v>16</v>
      </c>
      <c r="B83">
        <v>3</v>
      </c>
      <c r="C83">
        <v>1985</v>
      </c>
      <c r="D83" s="5">
        <v>25.9</v>
      </c>
      <c r="E83" s="5">
        <v>38.4</v>
      </c>
      <c r="F83" s="5">
        <f t="shared" si="4"/>
        <v>12.5</v>
      </c>
      <c r="G83" s="7">
        <v>1.02</v>
      </c>
      <c r="H83" s="7">
        <v>2.6215389599620487</v>
      </c>
      <c r="I83" s="8">
        <v>26741.53975</v>
      </c>
      <c r="J83" s="12">
        <v>5.159808</v>
      </c>
      <c r="K83" s="7">
        <v>24.596057371301164</v>
      </c>
      <c r="L83" s="5">
        <v>0.60598671436309803</v>
      </c>
      <c r="M83" s="5">
        <v>60.5986714363098</v>
      </c>
      <c r="N83" s="17">
        <v>1.7220217</v>
      </c>
      <c r="O83" s="21">
        <v>3.1173285000000002</v>
      </c>
      <c r="P83" s="22">
        <v>1.8102725</v>
      </c>
      <c r="Q83" s="25">
        <f t="shared" si="5"/>
        <v>0</v>
      </c>
      <c r="R83">
        <v>0</v>
      </c>
      <c r="S83" s="24">
        <v>0</v>
      </c>
      <c r="T83">
        <f>Q83/100</f>
        <v>0</v>
      </c>
      <c r="U83">
        <f>R83/100</f>
        <v>0</v>
      </c>
      <c r="V83">
        <f>S83/100</f>
        <v>0</v>
      </c>
    </row>
    <row r="84" spans="1:22" x14ac:dyDescent="0.25">
      <c r="A84" t="s">
        <v>16</v>
      </c>
      <c r="B84">
        <v>3</v>
      </c>
      <c r="C84">
        <v>1986</v>
      </c>
      <c r="D84" s="5">
        <v>26.2</v>
      </c>
      <c r="E84" s="5">
        <v>38.9</v>
      </c>
      <c r="F84" s="5">
        <f t="shared" si="4"/>
        <v>12.7</v>
      </c>
      <c r="G84" s="7">
        <v>1.006</v>
      </c>
      <c r="H84" s="7">
        <v>2.7698567165993899</v>
      </c>
      <c r="I84" s="8">
        <v>27483.693684000002</v>
      </c>
      <c r="J84" s="12">
        <v>3.2940480000000001</v>
      </c>
      <c r="K84" s="7">
        <v>18.151232728443524</v>
      </c>
      <c r="L84" s="5">
        <v>0.59679919481277499</v>
      </c>
      <c r="M84" s="5">
        <v>59.679919481277501</v>
      </c>
      <c r="N84" s="17">
        <v>1.7184211</v>
      </c>
      <c r="O84" s="21">
        <v>3.1421052999999999</v>
      </c>
      <c r="P84" s="22">
        <v>1.8284838999999999</v>
      </c>
      <c r="Q84" s="25">
        <f t="shared" si="5"/>
        <v>0</v>
      </c>
      <c r="R84">
        <v>0</v>
      </c>
      <c r="S84" s="24">
        <v>0</v>
      </c>
      <c r="T84">
        <f>Q84/100</f>
        <v>0</v>
      </c>
      <c r="U84">
        <f>R84/100</f>
        <v>0</v>
      </c>
      <c r="V84">
        <f>S84/100</f>
        <v>0</v>
      </c>
    </row>
    <row r="85" spans="1:22" x14ac:dyDescent="0.25">
      <c r="A85" t="s">
        <v>16</v>
      </c>
      <c r="B85">
        <v>3</v>
      </c>
      <c r="C85">
        <v>1987</v>
      </c>
      <c r="D85" s="5">
        <v>26.7</v>
      </c>
      <c r="E85" s="5">
        <v>39.4</v>
      </c>
      <c r="F85" s="5">
        <f t="shared" si="4"/>
        <v>12.7</v>
      </c>
      <c r="G85" s="7">
        <v>1.0009999999999999</v>
      </c>
      <c r="H85" s="7">
        <v>2.8464590686113755</v>
      </c>
      <c r="I85" s="8">
        <v>28625.140746000001</v>
      </c>
      <c r="J85" s="12">
        <v>4.6488610000000001</v>
      </c>
      <c r="K85" s="7">
        <v>17.106555101543897</v>
      </c>
      <c r="L85" s="5">
        <v>0.58881700038909901</v>
      </c>
      <c r="M85" s="5">
        <v>58.881700038909898</v>
      </c>
      <c r="N85" s="17">
        <v>1.7113578</v>
      </c>
      <c r="O85" s="21">
        <v>3.1468829999999999</v>
      </c>
      <c r="P85" s="22">
        <v>1.8388224</v>
      </c>
      <c r="Q85" s="25">
        <f t="shared" si="5"/>
        <v>0</v>
      </c>
      <c r="R85">
        <v>0</v>
      </c>
      <c r="S85" s="24">
        <v>0</v>
      </c>
      <c r="T85">
        <f>Q85/100</f>
        <v>0</v>
      </c>
      <c r="U85">
        <f>R85/100</f>
        <v>0</v>
      </c>
      <c r="V85">
        <f>S85/100</f>
        <v>0</v>
      </c>
    </row>
    <row r="86" spans="1:22" x14ac:dyDescent="0.25">
      <c r="A86" t="s">
        <v>16</v>
      </c>
      <c r="B86">
        <v>3</v>
      </c>
      <c r="C86">
        <v>1988</v>
      </c>
      <c r="D86" s="5">
        <v>26.8</v>
      </c>
      <c r="E86" s="5">
        <v>39.700000000000003</v>
      </c>
      <c r="F86" s="5">
        <f t="shared" si="4"/>
        <v>12.900000000000002</v>
      </c>
      <c r="G86" s="7">
        <v>1.0069999999999999</v>
      </c>
      <c r="H86" s="7">
        <v>2.5191907233214401</v>
      </c>
      <c r="I86" s="8">
        <v>30406.179272000001</v>
      </c>
      <c r="J86" s="12">
        <v>6.6616369999999998</v>
      </c>
      <c r="K86" s="7">
        <v>17.185641550914106</v>
      </c>
      <c r="L86" s="5">
        <v>0.579881250858307</v>
      </c>
      <c r="M86" s="5">
        <v>57.988125085830703</v>
      </c>
      <c r="N86" s="17">
        <v>1.7046589000000001</v>
      </c>
      <c r="O86" s="21">
        <v>3.1547421</v>
      </c>
      <c r="P86" s="22">
        <v>1.8506589</v>
      </c>
      <c r="Q86" s="25">
        <f t="shared" si="5"/>
        <v>0</v>
      </c>
      <c r="R86">
        <v>0</v>
      </c>
      <c r="S86" s="24">
        <v>0</v>
      </c>
      <c r="T86">
        <f>Q86/100</f>
        <v>0</v>
      </c>
      <c r="U86">
        <f>R86/100</f>
        <v>0</v>
      </c>
      <c r="V86">
        <f>S86/100</f>
        <v>0</v>
      </c>
    </row>
    <row r="87" spans="1:22" x14ac:dyDescent="0.25">
      <c r="A87" t="s">
        <v>16</v>
      </c>
      <c r="B87">
        <v>3</v>
      </c>
      <c r="C87">
        <v>1989</v>
      </c>
      <c r="D87" s="5">
        <v>27.1</v>
      </c>
      <c r="E87" s="5">
        <v>40.200000000000003</v>
      </c>
      <c r="F87" s="5">
        <f t="shared" si="4"/>
        <v>13.100000000000001</v>
      </c>
      <c r="G87" s="7">
        <v>1.0229999999999999</v>
      </c>
      <c r="H87" s="7">
        <v>2.2621842976195223</v>
      </c>
      <c r="I87" s="8">
        <v>31784.805461</v>
      </c>
      <c r="J87" s="12">
        <v>4.9257850000000003</v>
      </c>
      <c r="K87" s="7">
        <v>18.872544483656466</v>
      </c>
      <c r="L87" s="5">
        <v>0.57707095146179199</v>
      </c>
      <c r="M87" s="5">
        <v>57.707095146179199</v>
      </c>
      <c r="N87" s="17">
        <v>1.7044177</v>
      </c>
      <c r="O87" s="21">
        <v>3.1783133000000001</v>
      </c>
      <c r="P87" s="22">
        <v>1.8647502</v>
      </c>
      <c r="Q87" s="25">
        <f t="shared" si="5"/>
        <v>0</v>
      </c>
      <c r="R87">
        <v>0</v>
      </c>
      <c r="S87" s="24">
        <v>0</v>
      </c>
      <c r="T87">
        <f>Q87/100</f>
        <v>0</v>
      </c>
      <c r="U87">
        <f>R87/100</f>
        <v>0</v>
      </c>
      <c r="V87">
        <f>S87/100</f>
        <v>0</v>
      </c>
    </row>
    <row r="88" spans="1:22" x14ac:dyDescent="0.25">
      <c r="A88" t="s">
        <v>16</v>
      </c>
      <c r="B88">
        <v>3</v>
      </c>
      <c r="C88">
        <v>1990</v>
      </c>
      <c r="D88" s="5">
        <v>27.7</v>
      </c>
      <c r="E88" s="5">
        <v>40.700000000000003</v>
      </c>
      <c r="F88" s="5">
        <f t="shared" si="4"/>
        <v>13.000000000000004</v>
      </c>
      <c r="G88" s="7">
        <v>1.0309999999999999</v>
      </c>
      <c r="H88" s="7">
        <v>2.1030509041709022</v>
      </c>
      <c r="I88" s="8">
        <v>33214.034445999998</v>
      </c>
      <c r="J88" s="12">
        <v>4.840929</v>
      </c>
      <c r="K88" s="7">
        <v>19.663366096534787</v>
      </c>
      <c r="L88" s="5">
        <v>0.57350707054138195</v>
      </c>
      <c r="M88" s="5">
        <v>57.350707054138198</v>
      </c>
      <c r="N88" s="17">
        <v>1.6896291000000001</v>
      </c>
      <c r="O88" s="21">
        <v>3.1635124999999999</v>
      </c>
      <c r="P88" s="22">
        <v>1.8723118000000001</v>
      </c>
      <c r="Q88" s="25">
        <f t="shared" si="5"/>
        <v>0</v>
      </c>
      <c r="R88">
        <v>0</v>
      </c>
      <c r="S88" s="24">
        <v>0</v>
      </c>
      <c r="T88">
        <f>Q88/100</f>
        <v>0</v>
      </c>
      <c r="U88">
        <f>R88/100</f>
        <v>0</v>
      </c>
      <c r="V88">
        <f>S88/100</f>
        <v>0</v>
      </c>
    </row>
    <row r="89" spans="1:22" x14ac:dyDescent="0.25">
      <c r="A89" t="s">
        <v>16</v>
      </c>
      <c r="B89">
        <v>3</v>
      </c>
      <c r="C89">
        <v>1991</v>
      </c>
      <c r="D89" s="5">
        <v>28.1</v>
      </c>
      <c r="E89" s="5">
        <v>41.2</v>
      </c>
      <c r="F89" s="5">
        <f t="shared" si="4"/>
        <v>13.100000000000001</v>
      </c>
      <c r="G89" s="7">
        <v>1.0329999999999999</v>
      </c>
      <c r="H89" s="7">
        <v>2.0995589311108285</v>
      </c>
      <c r="I89" s="8">
        <v>34248.520733999998</v>
      </c>
      <c r="J89" s="12">
        <v>3.5233569999999999</v>
      </c>
      <c r="K89" s="7">
        <v>18.074791641382522</v>
      </c>
      <c r="L89" s="5">
        <v>0.58302062749862704</v>
      </c>
      <c r="M89" s="5">
        <v>58.302062749862706</v>
      </c>
      <c r="N89" s="17">
        <v>1.6699929</v>
      </c>
      <c r="O89" s="21">
        <v>3.1047755000000001</v>
      </c>
      <c r="P89" s="22">
        <v>1.8591549000000001</v>
      </c>
      <c r="Q89" s="25">
        <f t="shared" si="5"/>
        <v>0</v>
      </c>
      <c r="R89">
        <v>0</v>
      </c>
      <c r="S89" s="24">
        <v>0</v>
      </c>
      <c r="T89">
        <f>Q89/100</f>
        <v>0</v>
      </c>
      <c r="U89">
        <f>R89/100</f>
        <v>0</v>
      </c>
      <c r="V89">
        <f>S89/100</f>
        <v>0</v>
      </c>
    </row>
    <row r="90" spans="1:22" x14ac:dyDescent="0.25">
      <c r="A90" t="s">
        <v>16</v>
      </c>
      <c r="B90">
        <v>3</v>
      </c>
      <c r="C90">
        <v>1992</v>
      </c>
      <c r="D90" s="5">
        <v>28.4</v>
      </c>
      <c r="E90" s="5">
        <v>41.6</v>
      </c>
      <c r="F90" s="5">
        <f t="shared" si="4"/>
        <v>13.200000000000003</v>
      </c>
      <c r="G90" s="7">
        <v>1.016</v>
      </c>
      <c r="H90" s="7">
        <v>2.1598406060060658</v>
      </c>
      <c r="I90" s="8">
        <v>34427.681987000004</v>
      </c>
      <c r="J90" s="12">
        <v>0.900586</v>
      </c>
      <c r="K90" s="7">
        <v>17.331076618029726</v>
      </c>
      <c r="L90" s="5">
        <v>0.591111660003662</v>
      </c>
      <c r="M90" s="5">
        <v>59.111166000366197</v>
      </c>
      <c r="N90" s="17">
        <v>1.6411126</v>
      </c>
      <c r="O90" s="21">
        <v>3.036635</v>
      </c>
      <c r="P90" s="22">
        <v>1.8503514000000001</v>
      </c>
      <c r="Q90" s="25">
        <f t="shared" si="5"/>
        <v>0</v>
      </c>
      <c r="R90">
        <v>0</v>
      </c>
      <c r="S90" s="24">
        <v>0</v>
      </c>
      <c r="T90">
        <f>Q90/100</f>
        <v>0</v>
      </c>
      <c r="U90">
        <f>R90/100</f>
        <v>0</v>
      </c>
      <c r="V90">
        <f>S90/100</f>
        <v>0</v>
      </c>
    </row>
    <row r="91" spans="1:22" x14ac:dyDescent="0.25">
      <c r="A91" t="s">
        <v>16</v>
      </c>
      <c r="B91">
        <v>3</v>
      </c>
      <c r="C91">
        <v>1993</v>
      </c>
      <c r="D91" s="5">
        <v>28.4</v>
      </c>
      <c r="E91" s="5">
        <v>41.9</v>
      </c>
      <c r="F91" s="5">
        <f t="shared" si="4"/>
        <v>13.5</v>
      </c>
      <c r="G91" s="7">
        <v>1.0129999999999999</v>
      </c>
      <c r="H91" s="7">
        <v>2.503022523125817</v>
      </c>
      <c r="I91" s="8">
        <v>34167.820685999999</v>
      </c>
      <c r="J91" s="12">
        <v>-0.45922000000000002</v>
      </c>
      <c r="K91" s="7">
        <v>16.015615062660132</v>
      </c>
      <c r="L91" s="5">
        <v>0.59581488370895397</v>
      </c>
      <c r="M91" s="5">
        <v>59.5814883708954</v>
      </c>
      <c r="N91" s="17">
        <v>1.6484687</v>
      </c>
      <c r="O91" s="21">
        <v>3.0392809999999999</v>
      </c>
      <c r="P91" s="22">
        <v>1.8436995</v>
      </c>
      <c r="Q91" s="25">
        <f t="shared" si="5"/>
        <v>0</v>
      </c>
      <c r="R91">
        <v>0</v>
      </c>
      <c r="S91" s="24">
        <v>0</v>
      </c>
      <c r="T91">
        <f>Q91/100</f>
        <v>0</v>
      </c>
      <c r="U91">
        <f>R91/100</f>
        <v>0</v>
      </c>
      <c r="V91">
        <f>S91/100</f>
        <v>0</v>
      </c>
    </row>
    <row r="92" spans="1:22" x14ac:dyDescent="0.25">
      <c r="A92" t="s">
        <v>16</v>
      </c>
      <c r="B92">
        <v>3</v>
      </c>
      <c r="C92">
        <v>1994</v>
      </c>
      <c r="D92" s="5">
        <v>28.6</v>
      </c>
      <c r="E92" s="5">
        <v>42.3</v>
      </c>
      <c r="F92" s="5">
        <f t="shared" si="4"/>
        <v>13.699999999999996</v>
      </c>
      <c r="G92" s="7">
        <v>1.0069999999999999</v>
      </c>
      <c r="H92" s="7">
        <v>2.8894270446759598</v>
      </c>
      <c r="I92" s="8">
        <v>34488.852609000001</v>
      </c>
      <c r="J92" s="12">
        <v>1.083383</v>
      </c>
      <c r="K92" s="7">
        <v>15.810306232275712</v>
      </c>
      <c r="L92" s="5">
        <v>0.60395592451095603</v>
      </c>
      <c r="M92" s="5">
        <v>60.395592451095602</v>
      </c>
      <c r="N92" s="17">
        <v>1.6321543000000001</v>
      </c>
      <c r="O92" s="21">
        <v>3.0154340999999998</v>
      </c>
      <c r="P92" s="22">
        <v>1.8475177</v>
      </c>
      <c r="Q92" s="25">
        <f t="shared" si="5"/>
        <v>0</v>
      </c>
      <c r="R92">
        <v>0</v>
      </c>
      <c r="S92" s="24">
        <v>0</v>
      </c>
      <c r="T92">
        <f>Q92/100</f>
        <v>0</v>
      </c>
      <c r="U92">
        <f>R92/100</f>
        <v>0</v>
      </c>
      <c r="V92">
        <f>S92/100</f>
        <v>0</v>
      </c>
    </row>
    <row r="93" spans="1:22" x14ac:dyDescent="0.25">
      <c r="A93" t="s">
        <v>16</v>
      </c>
      <c r="B93">
        <v>3</v>
      </c>
      <c r="C93">
        <v>1995</v>
      </c>
      <c r="D93" s="5">
        <v>29.1</v>
      </c>
      <c r="E93" s="5">
        <v>42.9</v>
      </c>
      <c r="F93" s="5">
        <f t="shared" si="4"/>
        <v>13.799999999999997</v>
      </c>
      <c r="G93" s="7">
        <v>0.999</v>
      </c>
      <c r="H93" s="7">
        <v>3.147617850431176</v>
      </c>
      <c r="I93" s="8">
        <v>35305.954742000002</v>
      </c>
      <c r="J93" s="12">
        <v>2.6309999999999998</v>
      </c>
      <c r="K93" s="7">
        <v>16.390104934017234</v>
      </c>
      <c r="L93" s="5">
        <v>0.59876435995101895</v>
      </c>
      <c r="M93" s="5">
        <v>59.876435995101893</v>
      </c>
      <c r="N93" s="17">
        <v>1.6266666999999999</v>
      </c>
      <c r="O93" s="21">
        <v>3.007619</v>
      </c>
      <c r="P93" s="22">
        <v>1.8489461</v>
      </c>
      <c r="Q93" s="25">
        <f t="shared" si="5"/>
        <v>0</v>
      </c>
      <c r="R93">
        <v>0</v>
      </c>
      <c r="S93" s="24">
        <v>0</v>
      </c>
      <c r="T93">
        <f>Q93/100</f>
        <v>0</v>
      </c>
      <c r="U93">
        <f>R93/100</f>
        <v>0</v>
      </c>
      <c r="V93">
        <f>S93/100</f>
        <v>0</v>
      </c>
    </row>
    <row r="94" spans="1:22" x14ac:dyDescent="0.25">
      <c r="A94" t="s">
        <v>16</v>
      </c>
      <c r="B94">
        <v>3</v>
      </c>
      <c r="C94">
        <v>1996</v>
      </c>
      <c r="D94" s="5">
        <v>29.5</v>
      </c>
      <c r="E94" s="5">
        <v>43.2</v>
      </c>
      <c r="F94" s="5">
        <f t="shared" si="4"/>
        <v>13.700000000000003</v>
      </c>
      <c r="G94" s="7">
        <v>1.0009999999999999</v>
      </c>
      <c r="H94" s="7">
        <v>3.3528294154900715</v>
      </c>
      <c r="I94" s="8">
        <v>36332.743613999999</v>
      </c>
      <c r="J94" s="12">
        <v>3.1338710000000001</v>
      </c>
      <c r="K94" s="7">
        <v>18.253868225552182</v>
      </c>
      <c r="L94" s="5">
        <v>0.58914321660995495</v>
      </c>
      <c r="M94" s="5">
        <v>58.914321660995498</v>
      </c>
      <c r="N94" s="17">
        <v>1.6232065</v>
      </c>
      <c r="O94" s="21">
        <v>2.9981285</v>
      </c>
      <c r="P94" s="22">
        <v>1.8470407</v>
      </c>
      <c r="Q94" s="25">
        <f t="shared" si="5"/>
        <v>0</v>
      </c>
      <c r="R94">
        <v>0</v>
      </c>
      <c r="S94" s="24">
        <v>0</v>
      </c>
      <c r="T94">
        <f>Q94/100</f>
        <v>0</v>
      </c>
      <c r="U94">
        <f>R94/100</f>
        <v>0</v>
      </c>
      <c r="V94">
        <f>S94/100</f>
        <v>0</v>
      </c>
    </row>
    <row r="95" spans="1:22" x14ac:dyDescent="0.25">
      <c r="A95" t="s">
        <v>16</v>
      </c>
      <c r="B95">
        <v>3</v>
      </c>
      <c r="C95">
        <v>1997</v>
      </c>
      <c r="D95" s="5">
        <v>29.8</v>
      </c>
      <c r="E95" s="5">
        <v>43.6</v>
      </c>
      <c r="F95" s="5">
        <f t="shared" si="4"/>
        <v>13.8</v>
      </c>
      <c r="G95" s="7">
        <v>1.018</v>
      </c>
      <c r="H95" s="7">
        <v>3.3925570907316369</v>
      </c>
      <c r="I95" s="8">
        <v>36601.903200000001</v>
      </c>
      <c r="J95" s="12">
        <v>0.98122900000000002</v>
      </c>
      <c r="K95" s="7">
        <v>19.78351762336688</v>
      </c>
      <c r="L95" s="5">
        <v>0.59552359580993697</v>
      </c>
      <c r="M95" s="5">
        <v>59.552359580993695</v>
      </c>
      <c r="N95" s="17">
        <v>1.6262376000000001</v>
      </c>
      <c r="O95" s="21">
        <v>3.0074257000000002</v>
      </c>
      <c r="P95" s="22">
        <v>1.8493151000000001</v>
      </c>
      <c r="Q95" s="25">
        <f t="shared" si="5"/>
        <v>1.4210800000000001</v>
      </c>
      <c r="R95">
        <v>0.43951000000000001</v>
      </c>
      <c r="S95" s="24">
        <v>0.98157000000000005</v>
      </c>
      <c r="T95">
        <f>Q95/100</f>
        <v>1.4210800000000001E-2</v>
      </c>
      <c r="U95">
        <f>R95/100</f>
        <v>4.3950999999999999E-3</v>
      </c>
      <c r="V95">
        <f>S95/100</f>
        <v>9.8157000000000001E-3</v>
      </c>
    </row>
    <row r="96" spans="1:22" x14ac:dyDescent="0.25">
      <c r="A96" t="s">
        <v>16</v>
      </c>
      <c r="B96">
        <v>3</v>
      </c>
      <c r="C96">
        <v>1998</v>
      </c>
      <c r="D96" s="5">
        <v>30</v>
      </c>
      <c r="E96" s="5">
        <v>43.9</v>
      </c>
      <c r="F96" s="5">
        <f t="shared" si="4"/>
        <v>13.899999999999999</v>
      </c>
      <c r="G96" s="7">
        <v>1.006</v>
      </c>
      <c r="H96" s="7">
        <v>4.1023133511440442</v>
      </c>
      <c r="I96" s="8">
        <v>36040.267054999997</v>
      </c>
      <c r="J96" s="12">
        <v>-1.27033</v>
      </c>
      <c r="K96" s="7">
        <v>19.003186222337703</v>
      </c>
      <c r="L96" s="5">
        <v>0.59660863876342796</v>
      </c>
      <c r="M96" s="5">
        <v>59.660863876342795</v>
      </c>
      <c r="N96" s="17">
        <v>1.6173219000000001</v>
      </c>
      <c r="O96" s="21">
        <v>2.9766585000000001</v>
      </c>
      <c r="P96" s="22">
        <v>1.8404860999999999</v>
      </c>
      <c r="Q96" s="25">
        <f t="shared" si="5"/>
        <v>0.47368999999999994</v>
      </c>
      <c r="R96">
        <v>0.14649999999999999</v>
      </c>
      <c r="S96" s="24">
        <v>0.32718999999999998</v>
      </c>
      <c r="T96">
        <f>Q96/100</f>
        <v>4.7368999999999996E-3</v>
      </c>
      <c r="U96">
        <f>R96/100</f>
        <v>1.4649999999999999E-3</v>
      </c>
      <c r="V96">
        <f>S96/100</f>
        <v>3.2718999999999999E-3</v>
      </c>
    </row>
    <row r="97" spans="1:23" x14ac:dyDescent="0.25">
      <c r="A97" t="s">
        <v>16</v>
      </c>
      <c r="B97">
        <v>3</v>
      </c>
      <c r="C97">
        <v>1999</v>
      </c>
      <c r="D97" s="5">
        <v>30.2</v>
      </c>
      <c r="E97" s="5">
        <v>44.2</v>
      </c>
      <c r="F97" s="5">
        <f t="shared" si="4"/>
        <v>14.000000000000004</v>
      </c>
      <c r="G97" s="7">
        <v>0.997</v>
      </c>
      <c r="H97" s="7">
        <v>4.6771477071181353</v>
      </c>
      <c r="I97" s="8">
        <v>35852.383695999997</v>
      </c>
      <c r="J97" s="12">
        <v>-0.33393</v>
      </c>
      <c r="K97" s="7">
        <v>18.125630716691106</v>
      </c>
      <c r="L97" s="5">
        <v>0.59183150529861495</v>
      </c>
      <c r="M97" s="5">
        <v>59.183150529861493</v>
      </c>
      <c r="N97" s="17">
        <v>1.6168395</v>
      </c>
      <c r="O97" s="21">
        <v>2.9670531000000002</v>
      </c>
      <c r="P97" s="22">
        <v>1.8350943</v>
      </c>
      <c r="Q97" s="25">
        <f t="shared" si="5"/>
        <v>0</v>
      </c>
      <c r="R97">
        <v>0</v>
      </c>
      <c r="S97" s="24">
        <v>0</v>
      </c>
      <c r="T97">
        <f>Q97/100</f>
        <v>0</v>
      </c>
      <c r="U97">
        <f>R97/100</f>
        <v>0</v>
      </c>
      <c r="V97">
        <f>S97/100</f>
        <v>0</v>
      </c>
    </row>
    <row r="98" spans="1:23" x14ac:dyDescent="0.25">
      <c r="A98" t="s">
        <v>16</v>
      </c>
      <c r="B98">
        <v>3</v>
      </c>
      <c r="C98">
        <v>2000</v>
      </c>
      <c r="D98" s="5">
        <v>30.5</v>
      </c>
      <c r="E98" s="5">
        <v>44.6</v>
      </c>
      <c r="F98" s="5">
        <f t="shared" si="4"/>
        <v>14.100000000000001</v>
      </c>
      <c r="G98" s="7">
        <v>0.99299999999999999</v>
      </c>
      <c r="H98" s="7">
        <v>4.7268915573619061</v>
      </c>
      <c r="I98" s="8">
        <v>36772.695340999999</v>
      </c>
      <c r="J98" s="12">
        <v>2.7646480000000002</v>
      </c>
      <c r="K98" s="7">
        <v>19.562371583905424</v>
      </c>
      <c r="L98" s="5">
        <v>0.58198881149292003</v>
      </c>
      <c r="M98" s="5">
        <v>58.198881149292006</v>
      </c>
      <c r="N98" s="17">
        <v>1.6202068999999999</v>
      </c>
      <c r="O98" s="21">
        <v>2.9750456000000001</v>
      </c>
      <c r="P98" s="22">
        <v>1.8362134000000001</v>
      </c>
      <c r="Q98" s="25">
        <f t="shared" si="5"/>
        <v>0</v>
      </c>
      <c r="R98">
        <v>0</v>
      </c>
      <c r="S98" s="24">
        <v>0</v>
      </c>
      <c r="T98">
        <f>Q98/100</f>
        <v>0</v>
      </c>
      <c r="U98">
        <f>R98/100</f>
        <v>0</v>
      </c>
      <c r="V98">
        <f>S98/100</f>
        <v>0</v>
      </c>
    </row>
    <row r="99" spans="1:23" x14ac:dyDescent="0.25">
      <c r="A99" t="s">
        <v>16</v>
      </c>
      <c r="B99">
        <v>3</v>
      </c>
      <c r="C99">
        <v>2001</v>
      </c>
      <c r="D99" s="5">
        <v>30.6</v>
      </c>
      <c r="E99" s="5">
        <v>44.7</v>
      </c>
      <c r="F99" s="5">
        <f t="shared" si="4"/>
        <v>14.100000000000001</v>
      </c>
      <c r="G99" s="7">
        <v>0.99299999999999999</v>
      </c>
      <c r="H99" s="7">
        <v>5.028263431832003</v>
      </c>
      <c r="I99" s="8">
        <v>36827.276128999998</v>
      </c>
      <c r="J99" s="12">
        <v>0.38610299999999997</v>
      </c>
      <c r="K99" s="7">
        <v>19.55960447200707</v>
      </c>
      <c r="L99" s="5">
        <v>0.58215481042861905</v>
      </c>
      <c r="M99" s="5">
        <v>58.215481042861903</v>
      </c>
      <c r="N99" s="17">
        <v>1.6195913</v>
      </c>
      <c r="O99" s="21">
        <v>2.9567307999999999</v>
      </c>
      <c r="P99" s="22">
        <v>1.8256030000000001</v>
      </c>
      <c r="Q99" s="25">
        <f t="shared" si="5"/>
        <v>0</v>
      </c>
      <c r="R99">
        <v>0</v>
      </c>
      <c r="S99" s="24">
        <v>0</v>
      </c>
      <c r="T99">
        <f>Q99/100</f>
        <v>0</v>
      </c>
      <c r="U99">
        <f>R99/100</f>
        <v>0</v>
      </c>
      <c r="V99">
        <f>S99/100</f>
        <v>0</v>
      </c>
    </row>
    <row r="100" spans="1:23" x14ac:dyDescent="0.25">
      <c r="A100" t="s">
        <v>16</v>
      </c>
      <c r="B100">
        <v>3</v>
      </c>
      <c r="C100">
        <v>2002</v>
      </c>
      <c r="D100" s="5">
        <v>30.7</v>
      </c>
      <c r="E100" s="5">
        <v>44.9</v>
      </c>
      <c r="F100" s="5">
        <f t="shared" si="4"/>
        <v>14.2</v>
      </c>
      <c r="G100" s="7">
        <v>0.99099999999999999</v>
      </c>
      <c r="H100" s="7">
        <v>5.3645283300941839</v>
      </c>
      <c r="I100" s="8">
        <v>36765.227014999997</v>
      </c>
      <c r="J100" s="12">
        <v>4.1961999999999999E-2</v>
      </c>
      <c r="K100" s="7">
        <v>20.447122066158265</v>
      </c>
      <c r="L100" s="5">
        <v>0.569685459136963</v>
      </c>
      <c r="M100" s="5">
        <v>56.968545913696303</v>
      </c>
      <c r="N100" s="17">
        <v>1.6176292000000001</v>
      </c>
      <c r="O100" s="21">
        <v>2.9653494999999999</v>
      </c>
      <c r="P100" s="22">
        <v>1.8331454</v>
      </c>
      <c r="Q100" s="25">
        <f t="shared" si="5"/>
        <v>0</v>
      </c>
      <c r="R100">
        <v>0</v>
      </c>
      <c r="S100" s="24">
        <v>0</v>
      </c>
      <c r="T100">
        <f>Q100/100</f>
        <v>0</v>
      </c>
      <c r="U100">
        <f>R100/100</f>
        <v>0</v>
      </c>
      <c r="V100">
        <f>S100/100</f>
        <v>0</v>
      </c>
    </row>
    <row r="101" spans="1:23" x14ac:dyDescent="0.25">
      <c r="A101" t="s">
        <v>16</v>
      </c>
      <c r="B101">
        <v>3</v>
      </c>
      <c r="C101">
        <v>2003</v>
      </c>
      <c r="D101" s="5">
        <v>30.3</v>
      </c>
      <c r="E101" s="5">
        <v>44.9</v>
      </c>
      <c r="F101" s="5">
        <f t="shared" si="4"/>
        <v>14.599999999999998</v>
      </c>
      <c r="G101" s="7">
        <v>0.997</v>
      </c>
      <c r="H101" s="7">
        <v>5.2565127999887196</v>
      </c>
      <c r="I101" s="8">
        <v>37261.180486999998</v>
      </c>
      <c r="J101" s="12">
        <v>1.5351250000000001</v>
      </c>
      <c r="K101" s="7">
        <v>21.32612526781185</v>
      </c>
      <c r="L101" s="5">
        <v>0.56282925605773904</v>
      </c>
      <c r="M101" s="5">
        <v>56.282925605773904</v>
      </c>
      <c r="N101" s="17">
        <v>1.6184689999999999</v>
      </c>
      <c r="O101" s="21">
        <v>2.945322</v>
      </c>
      <c r="P101" s="22">
        <v>1.8198198000000001</v>
      </c>
      <c r="Q101" s="25">
        <f t="shared" si="5"/>
        <v>0.48842000000000002</v>
      </c>
      <c r="R101">
        <v>0.48842000000000002</v>
      </c>
      <c r="S101" s="24">
        <v>0</v>
      </c>
      <c r="T101">
        <f>Q101/100</f>
        <v>4.8842E-3</v>
      </c>
      <c r="U101">
        <f>R101/100</f>
        <v>4.8842E-3</v>
      </c>
      <c r="V101">
        <f>S101/100</f>
        <v>0</v>
      </c>
    </row>
    <row r="102" spans="1:23" x14ac:dyDescent="0.25">
      <c r="A102" t="s">
        <v>16</v>
      </c>
      <c r="B102">
        <v>3</v>
      </c>
      <c r="C102">
        <v>2004</v>
      </c>
      <c r="D102" s="5">
        <v>29.7</v>
      </c>
      <c r="E102" s="5">
        <v>44.7</v>
      </c>
      <c r="F102" s="5">
        <f t="shared" si="4"/>
        <v>15.000000000000004</v>
      </c>
      <c r="G102" s="7">
        <v>1</v>
      </c>
      <c r="H102" s="7">
        <v>4.7186500501950901</v>
      </c>
      <c r="I102" s="8">
        <v>38045.944372999998</v>
      </c>
      <c r="J102" s="12">
        <v>2.1861160000000002</v>
      </c>
      <c r="K102" s="7">
        <v>23.66435342289747</v>
      </c>
      <c r="L102" s="5">
        <v>0.55420696735382102</v>
      </c>
      <c r="M102" s="5">
        <v>55.420696735382101</v>
      </c>
      <c r="N102" s="17">
        <v>1.6143552000000001</v>
      </c>
      <c r="O102" s="21">
        <v>2.9428223999999998</v>
      </c>
      <c r="P102" s="22">
        <v>1.8229088</v>
      </c>
      <c r="Q102" s="25">
        <f t="shared" si="5"/>
        <v>0.63441999999999998</v>
      </c>
      <c r="R102">
        <v>0.45401000000000002</v>
      </c>
      <c r="S102" s="24">
        <v>0.18040999999999999</v>
      </c>
      <c r="T102">
        <f>Q102/100</f>
        <v>6.3441999999999995E-3</v>
      </c>
      <c r="U102">
        <f>R102/100</f>
        <v>4.5401E-3</v>
      </c>
      <c r="V102">
        <f>S102/100</f>
        <v>1.8040999999999999E-3</v>
      </c>
    </row>
    <row r="103" spans="1:23" x14ac:dyDescent="0.25">
      <c r="A103" t="s">
        <v>16</v>
      </c>
      <c r="B103">
        <v>3</v>
      </c>
      <c r="C103">
        <v>2005</v>
      </c>
      <c r="D103" s="5">
        <v>29.7</v>
      </c>
      <c r="E103" s="5">
        <v>44.9</v>
      </c>
      <c r="F103" s="5">
        <f t="shared" si="4"/>
        <v>15.2</v>
      </c>
      <c r="G103" s="7">
        <v>0.997</v>
      </c>
      <c r="H103" s="7">
        <v>4.42693002599471</v>
      </c>
      <c r="I103" s="8">
        <v>38725.888799</v>
      </c>
      <c r="J103" s="12">
        <v>1.803901</v>
      </c>
      <c r="K103" s="7">
        <v>26.229954577856496</v>
      </c>
      <c r="L103" s="5">
        <v>0.55404567718505904</v>
      </c>
      <c r="M103" s="5">
        <v>55.404567718505902</v>
      </c>
      <c r="N103" s="17">
        <v>1.6757441</v>
      </c>
      <c r="O103" s="21">
        <v>3.1196959999999998</v>
      </c>
      <c r="P103" s="22">
        <v>1.8616779999999999</v>
      </c>
      <c r="Q103" s="25">
        <f t="shared" si="5"/>
        <v>0.28083000000000002</v>
      </c>
      <c r="R103">
        <v>0.22069</v>
      </c>
      <c r="S103" s="24">
        <v>6.0139999999999999E-2</v>
      </c>
      <c r="T103">
        <f>Q103/100</f>
        <v>2.8083000000000001E-3</v>
      </c>
      <c r="U103">
        <f>R103/100</f>
        <v>2.2068999999999999E-3</v>
      </c>
      <c r="V103">
        <f>S103/100</f>
        <v>6.0139999999999998E-4</v>
      </c>
    </row>
    <row r="104" spans="1:23" x14ac:dyDescent="0.25">
      <c r="A104" t="s">
        <v>16</v>
      </c>
      <c r="B104">
        <v>3</v>
      </c>
      <c r="C104">
        <v>2006</v>
      </c>
      <c r="D104" s="5">
        <v>29.8</v>
      </c>
      <c r="E104" s="5">
        <v>45.3</v>
      </c>
      <c r="F104" s="5">
        <f t="shared" si="4"/>
        <v>15.499999999999996</v>
      </c>
      <c r="G104" s="7">
        <v>1.0029999999999999</v>
      </c>
      <c r="H104" s="7">
        <v>4.1280034886823413</v>
      </c>
      <c r="I104" s="8">
        <v>39231.855390999997</v>
      </c>
      <c r="J104" s="12">
        <v>1.37235</v>
      </c>
      <c r="K104" s="7">
        <v>30.016376098669173</v>
      </c>
      <c r="L104" s="5">
        <v>0.55389565229415905</v>
      </c>
      <c r="M104" s="5">
        <v>55.389565229415908</v>
      </c>
      <c r="N104" s="17">
        <v>1.6736243</v>
      </c>
      <c r="O104" s="21">
        <v>3.1075268999999999</v>
      </c>
      <c r="P104" s="22">
        <v>1.8567648999999999</v>
      </c>
      <c r="Q104" s="25">
        <f t="shared" si="5"/>
        <v>0.74975999999999998</v>
      </c>
      <c r="R104">
        <v>0.27348</v>
      </c>
      <c r="S104" s="24">
        <v>0.47627999999999998</v>
      </c>
      <c r="T104">
        <f>Q104/100</f>
        <v>7.4976000000000001E-3</v>
      </c>
      <c r="U104">
        <f>R104/100</f>
        <v>2.7347999999999999E-3</v>
      </c>
      <c r="V104">
        <f>S104/100</f>
        <v>4.7628000000000002E-3</v>
      </c>
    </row>
    <row r="105" spans="1:23" x14ac:dyDescent="0.25">
      <c r="A105" t="s">
        <v>16</v>
      </c>
      <c r="B105">
        <v>3</v>
      </c>
      <c r="C105">
        <v>2007</v>
      </c>
      <c r="D105" s="5">
        <v>29.9</v>
      </c>
      <c r="E105" s="5">
        <v>45.8</v>
      </c>
      <c r="F105" s="5">
        <f t="shared" si="4"/>
        <v>15.899999999999999</v>
      </c>
      <c r="G105" s="7">
        <v>1</v>
      </c>
      <c r="H105" s="7">
        <v>3.8423169757824791</v>
      </c>
      <c r="I105" s="8">
        <v>39769.868517000003</v>
      </c>
      <c r="J105" s="12">
        <v>1.4839690000000001</v>
      </c>
      <c r="K105" s="7">
        <v>32.816578051879006</v>
      </c>
      <c r="L105" s="5">
        <v>0.55038559436798096</v>
      </c>
      <c r="M105" s="5">
        <v>55.038559436798096</v>
      </c>
      <c r="N105" s="17">
        <v>1.6495298</v>
      </c>
      <c r="O105" s="21">
        <v>3.0645768000000002</v>
      </c>
      <c r="P105" s="22">
        <v>1.8578486999999999</v>
      </c>
      <c r="Q105" s="25">
        <f t="shared" si="5"/>
        <v>0.15876000000000001</v>
      </c>
      <c r="R105">
        <v>0</v>
      </c>
      <c r="S105" s="24">
        <v>0.15876000000000001</v>
      </c>
      <c r="T105">
        <f>Q105/100</f>
        <v>1.5876000000000002E-3</v>
      </c>
      <c r="U105">
        <f>R105/100</f>
        <v>0</v>
      </c>
      <c r="V105">
        <f>S105/100</f>
        <v>1.5876000000000002E-3</v>
      </c>
    </row>
    <row r="106" spans="1:23" x14ac:dyDescent="0.25">
      <c r="A106" t="s">
        <v>16</v>
      </c>
      <c r="B106">
        <v>3</v>
      </c>
      <c r="C106">
        <v>2008</v>
      </c>
      <c r="D106" s="5">
        <v>30.8</v>
      </c>
      <c r="E106" s="5">
        <v>46.8</v>
      </c>
      <c r="F106" s="5">
        <f t="shared" si="4"/>
        <v>15.999999999999996</v>
      </c>
      <c r="G106" s="7">
        <v>1.014</v>
      </c>
      <c r="H106" s="7">
        <v>3.970632304465088</v>
      </c>
      <c r="I106" s="8">
        <v>39263.029018000001</v>
      </c>
      <c r="J106" s="12">
        <v>-1.224289</v>
      </c>
      <c r="K106" s="7">
        <v>34.129476541224548</v>
      </c>
      <c r="L106" s="5">
        <v>0.56474840641021695</v>
      </c>
      <c r="M106" s="5">
        <v>56.474840641021693</v>
      </c>
      <c r="N106" s="17">
        <v>1.6346632999999999</v>
      </c>
      <c r="O106" s="21">
        <v>3.0193267000000001</v>
      </c>
      <c r="P106" s="22">
        <v>1.8470633000000001</v>
      </c>
      <c r="Q106" s="25">
        <f t="shared" si="5"/>
        <v>0</v>
      </c>
      <c r="R106">
        <v>0</v>
      </c>
      <c r="S106" s="24">
        <v>0</v>
      </c>
      <c r="T106">
        <f>Q106/100</f>
        <v>0</v>
      </c>
      <c r="U106">
        <f>R106/100</f>
        <v>0</v>
      </c>
      <c r="V106">
        <f>S106/100</f>
        <v>0</v>
      </c>
      <c r="W106">
        <v>0.84658</v>
      </c>
    </row>
    <row r="107" spans="1:23" x14ac:dyDescent="0.25">
      <c r="A107" t="s">
        <v>16</v>
      </c>
      <c r="B107">
        <v>3</v>
      </c>
      <c r="C107">
        <v>2009</v>
      </c>
      <c r="D107" s="5">
        <v>31.1</v>
      </c>
      <c r="E107" s="5">
        <v>47.2</v>
      </c>
      <c r="F107" s="5">
        <f t="shared" si="4"/>
        <v>16.100000000000001</v>
      </c>
      <c r="G107" s="7">
        <v>0.98599999999999999</v>
      </c>
      <c r="H107" s="7">
        <v>5.0463654135338345</v>
      </c>
      <c r="I107" s="8">
        <v>37030.873197000001</v>
      </c>
      <c r="J107" s="12">
        <v>-5.6932359999999997</v>
      </c>
      <c r="K107" s="7">
        <v>24.390166533855524</v>
      </c>
      <c r="L107" s="5">
        <v>0.57409214973449696</v>
      </c>
      <c r="M107" s="5">
        <v>57.409214973449693</v>
      </c>
      <c r="N107" s="17">
        <v>1.6222363</v>
      </c>
      <c r="O107" s="21">
        <v>2.9943146</v>
      </c>
      <c r="P107" s="22">
        <v>1.8457943999999999</v>
      </c>
      <c r="Q107" s="25">
        <f t="shared" si="5"/>
        <v>0</v>
      </c>
      <c r="R107">
        <v>0</v>
      </c>
      <c r="S107" s="24">
        <v>0</v>
      </c>
      <c r="T107">
        <f>Q107/100</f>
        <v>0</v>
      </c>
      <c r="U107">
        <f>R107/100</f>
        <v>0</v>
      </c>
      <c r="V107">
        <f>S107/100</f>
        <v>0</v>
      </c>
    </row>
    <row r="108" spans="1:23" x14ac:dyDescent="0.25">
      <c r="A108" t="s">
        <v>16</v>
      </c>
      <c r="B108">
        <v>3</v>
      </c>
      <c r="C108">
        <v>2010</v>
      </c>
      <c r="D108" s="5">
        <v>31.3</v>
      </c>
      <c r="E108" s="5">
        <v>47.8</v>
      </c>
      <c r="F108" s="5">
        <f t="shared" si="4"/>
        <v>16.499999999999996</v>
      </c>
      <c r="G108" s="7">
        <v>0.99299999999999999</v>
      </c>
      <c r="H108" s="7">
        <v>5.0300946205752632</v>
      </c>
      <c r="I108" s="8">
        <v>38545.658464</v>
      </c>
      <c r="J108" s="12">
        <v>4.0979179999999999</v>
      </c>
      <c r="K108" s="7">
        <v>28.498472693838909</v>
      </c>
      <c r="L108" s="5">
        <v>0.56109994649887096</v>
      </c>
      <c r="M108" s="5">
        <v>56.109994649887099</v>
      </c>
      <c r="N108" s="17">
        <v>1.6153367000000001</v>
      </c>
      <c r="O108" s="21">
        <v>2.9594762999999999</v>
      </c>
      <c r="P108" s="22">
        <v>1.8321111999999999</v>
      </c>
      <c r="Q108" s="25">
        <f t="shared" si="5"/>
        <v>0</v>
      </c>
      <c r="R108">
        <v>0</v>
      </c>
      <c r="S108" s="24">
        <v>0</v>
      </c>
      <c r="T108">
        <f>Q108/100</f>
        <v>0</v>
      </c>
      <c r="U108">
        <f>R108/100</f>
        <v>0</v>
      </c>
      <c r="V108">
        <f>S108/100</f>
        <v>0</v>
      </c>
      <c r="W108">
        <v>0.82255</v>
      </c>
    </row>
    <row r="109" spans="1:23" x14ac:dyDescent="0.25">
      <c r="A109" t="s">
        <v>16</v>
      </c>
      <c r="B109">
        <v>3</v>
      </c>
      <c r="C109">
        <v>2011</v>
      </c>
      <c r="D109" s="5">
        <v>31.7</v>
      </c>
      <c r="E109" s="5">
        <v>48</v>
      </c>
      <c r="F109" s="5">
        <f t="shared" si="4"/>
        <v>16.3</v>
      </c>
      <c r="G109" s="7">
        <v>0.997</v>
      </c>
      <c r="H109" s="7">
        <v>4.5763520582215147</v>
      </c>
      <c r="I109" s="8">
        <v>38618.776870000002</v>
      </c>
      <c r="J109" s="12">
        <v>2.3810000000000001E-2</v>
      </c>
      <c r="K109" s="7">
        <v>30.194960728629617</v>
      </c>
      <c r="L109" s="5">
        <v>0.57345271110534701</v>
      </c>
      <c r="M109" s="5">
        <v>57.345271110534703</v>
      </c>
      <c r="N109" s="17">
        <v>1.6150967000000001</v>
      </c>
      <c r="O109" s="21">
        <v>2.9731752999999999</v>
      </c>
      <c r="P109" s="22">
        <v>1.8408652000000001</v>
      </c>
      <c r="Q109" s="25">
        <f t="shared" si="5"/>
        <v>0</v>
      </c>
      <c r="R109">
        <v>0</v>
      </c>
      <c r="S109" s="24">
        <v>0</v>
      </c>
      <c r="T109">
        <f>Q109/100</f>
        <v>0</v>
      </c>
      <c r="U109">
        <f>R109/100</f>
        <v>0</v>
      </c>
      <c r="V109">
        <f>S109/100</f>
        <v>0</v>
      </c>
    </row>
    <row r="110" spans="1:23" x14ac:dyDescent="0.25">
      <c r="A110" t="s">
        <v>16</v>
      </c>
      <c r="B110">
        <v>3</v>
      </c>
      <c r="C110">
        <v>2012</v>
      </c>
      <c r="D110" s="5">
        <v>31.8</v>
      </c>
      <c r="E110" s="5">
        <v>48.2</v>
      </c>
      <c r="F110" s="5">
        <f t="shared" si="4"/>
        <v>16.400000000000002</v>
      </c>
      <c r="G110" s="7">
        <v>1</v>
      </c>
      <c r="H110" s="7">
        <v>4.3372856070966064</v>
      </c>
      <c r="I110" s="8">
        <v>39235.322697000003</v>
      </c>
      <c r="J110" s="12">
        <v>1.3747510000000001</v>
      </c>
      <c r="K110" s="7">
        <v>30.470910917175232</v>
      </c>
      <c r="L110" s="5">
        <v>0.56986975669860795</v>
      </c>
      <c r="M110" s="5">
        <v>56.986975669860797</v>
      </c>
      <c r="N110" s="17">
        <v>1.6118380000000001</v>
      </c>
      <c r="O110" s="21">
        <v>2.9862928000000002</v>
      </c>
      <c r="P110" s="22">
        <v>1.8527252000000001</v>
      </c>
      <c r="Q110" s="25">
        <f t="shared" si="5"/>
        <v>0</v>
      </c>
      <c r="R110">
        <v>0</v>
      </c>
      <c r="S110" s="24">
        <v>0</v>
      </c>
      <c r="T110">
        <f>Q110/100</f>
        <v>0</v>
      </c>
      <c r="U110">
        <f>R110/100</f>
        <v>0</v>
      </c>
      <c r="V110">
        <f>S110/100</f>
        <v>0</v>
      </c>
    </row>
    <row r="111" spans="1:23" x14ac:dyDescent="0.25">
      <c r="A111" t="s">
        <v>16</v>
      </c>
      <c r="B111">
        <v>3</v>
      </c>
      <c r="C111">
        <v>2013</v>
      </c>
      <c r="D111" s="5">
        <v>31.7</v>
      </c>
      <c r="E111" s="5">
        <v>48.3</v>
      </c>
      <c r="F111" s="5">
        <f t="shared" si="4"/>
        <v>16.599999999999998</v>
      </c>
      <c r="G111" s="7">
        <v>1.004</v>
      </c>
      <c r="H111" s="7">
        <v>4.0208304576997467</v>
      </c>
      <c r="I111" s="8">
        <v>40090.864103</v>
      </c>
      <c r="J111" s="12">
        <v>2.0051000000000001</v>
      </c>
      <c r="K111" s="7">
        <v>33.978768650951068</v>
      </c>
      <c r="L111" s="5">
        <v>0.56298792362213101</v>
      </c>
      <c r="M111" s="5">
        <v>56.298792362213099</v>
      </c>
      <c r="N111" s="17">
        <v>1.6064959000000001</v>
      </c>
      <c r="O111" s="21">
        <v>2.9569019000000001</v>
      </c>
      <c r="P111" s="22">
        <v>1.8405910000000001</v>
      </c>
      <c r="Q111" s="25">
        <f t="shared" si="5"/>
        <v>0</v>
      </c>
      <c r="R111">
        <v>0</v>
      </c>
      <c r="S111" s="24">
        <v>0</v>
      </c>
      <c r="T111">
        <f>Q111/100</f>
        <v>0</v>
      </c>
      <c r="U111">
        <f>R111/100</f>
        <v>0</v>
      </c>
      <c r="V111">
        <f>S111/100</f>
        <v>0</v>
      </c>
      <c r="W111">
        <v>0.80642999999999998</v>
      </c>
    </row>
    <row r="112" spans="1:23" x14ac:dyDescent="0.25">
      <c r="A112" t="s">
        <v>16</v>
      </c>
      <c r="B112">
        <v>3</v>
      </c>
      <c r="C112">
        <v>2014</v>
      </c>
      <c r="D112" s="5">
        <v>31.6</v>
      </c>
      <c r="E112" s="5">
        <v>48.2</v>
      </c>
      <c r="F112" s="5">
        <f t="shared" si="4"/>
        <v>16.600000000000001</v>
      </c>
      <c r="G112" s="7">
        <v>1.0269999999999999</v>
      </c>
      <c r="H112" s="7">
        <v>3.5697628144505389</v>
      </c>
      <c r="I112" s="8">
        <v>40232.048564999997</v>
      </c>
      <c r="J112" s="12">
        <v>0.29620600000000002</v>
      </c>
      <c r="K112" s="7">
        <v>37.431434568657949</v>
      </c>
      <c r="L112" s="5">
        <v>0.56491613388061501</v>
      </c>
      <c r="M112" s="5">
        <v>56.491613388061502</v>
      </c>
      <c r="N112" s="17">
        <v>1.5991405999999999</v>
      </c>
      <c r="O112" s="21">
        <v>2.9447513999999999</v>
      </c>
      <c r="P112" s="22">
        <v>1.8414587</v>
      </c>
      <c r="Q112" s="25">
        <f t="shared" si="5"/>
        <v>0</v>
      </c>
      <c r="R112">
        <v>0</v>
      </c>
      <c r="S112" s="24">
        <v>0</v>
      </c>
      <c r="T112">
        <f>Q112/100</f>
        <v>0</v>
      </c>
      <c r="U112">
        <f>R112/100</f>
        <v>0</v>
      </c>
      <c r="V112">
        <f>S112/100</f>
        <v>0</v>
      </c>
    </row>
    <row r="113" spans="1:26" x14ac:dyDescent="0.25">
      <c r="A113" t="s">
        <v>17</v>
      </c>
      <c r="B113">
        <v>4</v>
      </c>
      <c r="C113">
        <v>1978</v>
      </c>
      <c r="D113" s="5">
        <v>25</v>
      </c>
      <c r="E113" s="5">
        <v>39.200000000000003</v>
      </c>
      <c r="F113" s="5">
        <f t="shared" si="4"/>
        <v>14.200000000000003</v>
      </c>
      <c r="G113" s="7">
        <v>1.08263139</v>
      </c>
      <c r="H113" s="7">
        <v>5.1576481431698609</v>
      </c>
      <c r="I113" s="8">
        <v>22426.278573</v>
      </c>
      <c r="J113" s="12">
        <v>4.2042609999999998</v>
      </c>
      <c r="K113" s="7">
        <v>55.011698246775865</v>
      </c>
      <c r="L113" s="5">
        <v>0.55143183469772294</v>
      </c>
      <c r="M113" s="5">
        <v>55.143183469772296</v>
      </c>
      <c r="N113" s="17">
        <v>1.7778683</v>
      </c>
      <c r="O113" s="21">
        <v>2.9177050000000002</v>
      </c>
      <c r="P113" s="22">
        <v>1.6836157</v>
      </c>
      <c r="Q113" s="25">
        <f t="shared" si="5"/>
        <v>0</v>
      </c>
      <c r="R113">
        <v>0</v>
      </c>
      <c r="S113" s="24">
        <v>0</v>
      </c>
      <c r="T113">
        <f>Q113/100</f>
        <v>0</v>
      </c>
      <c r="U113">
        <f>R113/100</f>
        <v>0</v>
      </c>
      <c r="V113">
        <f>S113/100</f>
        <v>0</v>
      </c>
      <c r="W113">
        <v>0.70655000000000001</v>
      </c>
      <c r="X113">
        <v>0.32600000000000001</v>
      </c>
      <c r="Y113">
        <v>0.32600000000000001</v>
      </c>
      <c r="Z113" s="5">
        <f>Y113*100</f>
        <v>32.6</v>
      </c>
    </row>
    <row r="114" spans="1:26" x14ac:dyDescent="0.25">
      <c r="A114" t="s">
        <v>17</v>
      </c>
      <c r="B114">
        <v>4</v>
      </c>
      <c r="C114">
        <v>1979</v>
      </c>
      <c r="D114" s="5">
        <v>25.4</v>
      </c>
      <c r="E114" s="5">
        <v>39.799999999999997</v>
      </c>
      <c r="F114" s="5">
        <f t="shared" si="4"/>
        <v>14.399999999999999</v>
      </c>
      <c r="G114" s="7">
        <v>1.1342129000000001</v>
      </c>
      <c r="H114" s="7">
        <v>4.6895188872843354</v>
      </c>
      <c r="I114" s="8">
        <v>23241.393467999998</v>
      </c>
      <c r="J114" s="12">
        <v>3.7490169999999998</v>
      </c>
      <c r="K114" s="7">
        <v>54.686357957094543</v>
      </c>
      <c r="L114" s="5">
        <v>0.55143183469772294</v>
      </c>
      <c r="M114" s="5">
        <v>55.143183469772296</v>
      </c>
      <c r="N114" s="17">
        <v>1.7956761000000001</v>
      </c>
      <c r="O114" s="21">
        <v>2.9631253000000002</v>
      </c>
      <c r="P114" s="22">
        <v>1.6928684000000001</v>
      </c>
      <c r="Q114" s="25">
        <f t="shared" si="5"/>
        <v>0.24619999999999986</v>
      </c>
      <c r="R114">
        <v>0.73902999999999996</v>
      </c>
      <c r="S114" s="24">
        <v>-0.4928300000000001</v>
      </c>
      <c r="T114">
        <f>Q114/100</f>
        <v>2.4619999999999985E-3</v>
      </c>
      <c r="U114">
        <f>R114/100</f>
        <v>7.3902999999999998E-3</v>
      </c>
      <c r="V114">
        <f>S114/100</f>
        <v>-4.9283000000000009E-3</v>
      </c>
      <c r="W114">
        <v>0.70589000000000002</v>
      </c>
      <c r="X114">
        <v>0.33600000000000002</v>
      </c>
      <c r="Y114">
        <v>0.33600000000000002</v>
      </c>
      <c r="Z114" s="5">
        <f t="shared" ref="Z114:Z177" si="6">Y114*100</f>
        <v>33.6</v>
      </c>
    </row>
    <row r="115" spans="1:26" x14ac:dyDescent="0.25">
      <c r="A115" t="s">
        <v>17</v>
      </c>
      <c r="B115">
        <v>4</v>
      </c>
      <c r="C115">
        <v>1980</v>
      </c>
      <c r="D115" s="5">
        <v>26.1</v>
      </c>
      <c r="E115" s="5">
        <v>41</v>
      </c>
      <c r="F115" s="5">
        <f t="shared" si="4"/>
        <v>14.899999999999999</v>
      </c>
      <c r="G115" s="7">
        <v>1.1796593</v>
      </c>
      <c r="H115" s="7">
        <v>5.7057736546366487</v>
      </c>
      <c r="I115" s="8">
        <v>22732.896186000002</v>
      </c>
      <c r="J115" s="12">
        <v>-2.0313680000000001</v>
      </c>
      <c r="K115" s="7">
        <v>51.336004969209824</v>
      </c>
      <c r="L115" s="5">
        <v>0.55143183469772294</v>
      </c>
      <c r="M115" s="5">
        <v>55.143183469772296</v>
      </c>
      <c r="N115" s="17">
        <v>1.7908142</v>
      </c>
      <c r="O115" s="21">
        <v>2.9917322</v>
      </c>
      <c r="P115" s="22">
        <v>1.7138522</v>
      </c>
      <c r="Q115" s="25">
        <f t="shared" si="5"/>
        <v>8.2060000000000022E-2</v>
      </c>
      <c r="R115">
        <v>0.24634</v>
      </c>
      <c r="S115" s="24">
        <v>-0.16427999999999998</v>
      </c>
      <c r="T115">
        <f>Q115/100</f>
        <v>8.2060000000000021E-4</v>
      </c>
      <c r="U115">
        <f>R115/100</f>
        <v>2.4634000000000001E-3</v>
      </c>
      <c r="V115">
        <f>S115/100</f>
        <v>-1.6427999999999998E-3</v>
      </c>
      <c r="W115">
        <v>0.71208000000000005</v>
      </c>
      <c r="X115">
        <v>0.34699999999999998</v>
      </c>
      <c r="Y115">
        <v>0.34699999999999998</v>
      </c>
      <c r="Z115" s="5">
        <f t="shared" si="6"/>
        <v>34.699999999999996</v>
      </c>
    </row>
    <row r="116" spans="1:26" x14ac:dyDescent="0.25">
      <c r="A116" t="s">
        <v>17</v>
      </c>
      <c r="B116">
        <v>4</v>
      </c>
      <c r="C116">
        <v>1981</v>
      </c>
      <c r="D116" s="5">
        <v>26.7</v>
      </c>
      <c r="E116" s="5">
        <v>42.6</v>
      </c>
      <c r="F116" s="5">
        <f t="shared" si="4"/>
        <v>15.900000000000002</v>
      </c>
      <c r="G116" s="7">
        <v>1.1187662</v>
      </c>
      <c r="H116" s="7">
        <v>9.0699083541619334</v>
      </c>
      <c r="I116" s="8">
        <v>22542.613922</v>
      </c>
      <c r="J116" s="12">
        <v>-0.787744</v>
      </c>
      <c r="K116" s="7">
        <v>49.416459854692754</v>
      </c>
      <c r="L116" s="5">
        <v>0.55143183469772294</v>
      </c>
      <c r="M116" s="5">
        <v>55.143183469772296</v>
      </c>
      <c r="N116" s="17">
        <v>1.7872333</v>
      </c>
      <c r="O116" s="21">
        <v>3.0951884999999999</v>
      </c>
      <c r="P116" s="22">
        <v>1.7766710999999999</v>
      </c>
      <c r="Q116" s="25">
        <f t="shared" si="5"/>
        <v>1.2340800000000001</v>
      </c>
      <c r="R116">
        <v>0.12341000000000001</v>
      </c>
      <c r="S116" s="24">
        <v>1.11067</v>
      </c>
      <c r="T116">
        <f>Q116/100</f>
        <v>1.2340800000000001E-2</v>
      </c>
      <c r="U116">
        <f>R116/100</f>
        <v>1.2341000000000001E-3</v>
      </c>
      <c r="V116">
        <f>S116/100</f>
        <v>1.1106700000000001E-2</v>
      </c>
      <c r="W116">
        <v>0.72972000000000004</v>
      </c>
      <c r="X116">
        <v>0.35399999999999998</v>
      </c>
      <c r="Y116">
        <v>0.35399999999999998</v>
      </c>
      <c r="Z116" s="5">
        <f t="shared" si="6"/>
        <v>35.4</v>
      </c>
    </row>
    <row r="117" spans="1:26" x14ac:dyDescent="0.25">
      <c r="A117" t="s">
        <v>17</v>
      </c>
      <c r="B117">
        <v>4</v>
      </c>
      <c r="C117">
        <v>1982</v>
      </c>
      <c r="D117" s="5">
        <v>27.1</v>
      </c>
      <c r="E117" s="5">
        <v>44.1</v>
      </c>
      <c r="F117" s="5">
        <f t="shared" si="4"/>
        <v>17</v>
      </c>
      <c r="G117" s="7">
        <v>1.0859886999999999</v>
      </c>
      <c r="H117" s="7">
        <v>10.510738407831829</v>
      </c>
      <c r="I117" s="8">
        <v>23019.681003999998</v>
      </c>
      <c r="J117" s="12">
        <v>1.994891</v>
      </c>
      <c r="K117" s="7">
        <v>49.638226814194716</v>
      </c>
      <c r="L117" s="5">
        <v>0.55143183469772294</v>
      </c>
      <c r="M117" s="5">
        <v>55.143183469772296</v>
      </c>
      <c r="N117" s="17">
        <v>1.7947495</v>
      </c>
      <c r="O117" s="21">
        <v>3.1164827000000002</v>
      </c>
      <c r="P117" s="22">
        <v>1.7814025</v>
      </c>
      <c r="Q117" s="25">
        <f t="shared" si="5"/>
        <v>0.41137000000000001</v>
      </c>
      <c r="R117">
        <v>4.1140000000000003E-2</v>
      </c>
      <c r="S117" s="24">
        <v>0.37023</v>
      </c>
      <c r="T117">
        <f>Q117/100</f>
        <v>4.1137000000000005E-3</v>
      </c>
      <c r="U117">
        <f>R117/100</f>
        <v>4.1140000000000003E-4</v>
      </c>
      <c r="V117">
        <f>S117/100</f>
        <v>3.7022999999999999E-3</v>
      </c>
      <c r="W117">
        <v>0.75141000000000002</v>
      </c>
      <c r="X117">
        <v>0.39500000000000002</v>
      </c>
      <c r="Y117">
        <v>0.39500000000000002</v>
      </c>
      <c r="Z117" s="5">
        <f t="shared" si="6"/>
        <v>39.5</v>
      </c>
    </row>
    <row r="118" spans="1:26" x14ac:dyDescent="0.25">
      <c r="A118" t="s">
        <v>17</v>
      </c>
      <c r="B118">
        <v>4</v>
      </c>
      <c r="C118">
        <v>1983</v>
      </c>
      <c r="D118" s="5">
        <v>27.3</v>
      </c>
      <c r="E118" s="5">
        <v>44.9</v>
      </c>
      <c r="F118" s="5">
        <f t="shared" si="4"/>
        <v>17.599999999999998</v>
      </c>
      <c r="G118" s="7">
        <v>1.04609302</v>
      </c>
      <c r="H118" s="7">
        <v>11.351186853317103</v>
      </c>
      <c r="I118" s="8">
        <v>23980.888458000001</v>
      </c>
      <c r="J118" s="12">
        <v>4.2218559999999998</v>
      </c>
      <c r="K118" s="7">
        <v>50.837685332243552</v>
      </c>
      <c r="L118" s="5">
        <v>0.55143183469772294</v>
      </c>
      <c r="M118" s="5">
        <v>55.143183469772296</v>
      </c>
      <c r="N118" s="17">
        <v>1.7952064999999999</v>
      </c>
      <c r="O118" s="21">
        <v>3.1204874999999999</v>
      </c>
      <c r="P118" s="22">
        <v>1.7832376000000001</v>
      </c>
      <c r="Q118" s="25">
        <f t="shared" si="5"/>
        <v>0</v>
      </c>
      <c r="R118">
        <v>0</v>
      </c>
      <c r="S118" s="24">
        <v>0</v>
      </c>
      <c r="T118">
        <f>Q118/100</f>
        <v>0</v>
      </c>
      <c r="U118">
        <f>R118/100</f>
        <v>0</v>
      </c>
      <c r="V118">
        <f>S118/100</f>
        <v>0</v>
      </c>
      <c r="W118">
        <v>0.74978999999999996</v>
      </c>
      <c r="X118">
        <v>0.39500000000000002</v>
      </c>
      <c r="Y118">
        <v>0.39500000000000002</v>
      </c>
      <c r="Z118" s="5">
        <f t="shared" si="6"/>
        <v>39.5</v>
      </c>
    </row>
    <row r="119" spans="1:26" x14ac:dyDescent="0.25">
      <c r="A119" t="s">
        <v>17</v>
      </c>
      <c r="B119">
        <v>4</v>
      </c>
      <c r="C119">
        <v>1984</v>
      </c>
      <c r="D119" s="5">
        <v>27.6</v>
      </c>
      <c r="E119" s="5">
        <v>45.6</v>
      </c>
      <c r="F119" s="5">
        <f t="shared" si="4"/>
        <v>18</v>
      </c>
      <c r="G119" s="7">
        <v>1.0496071199999999</v>
      </c>
      <c r="H119" s="7">
        <v>11.87987144915223</v>
      </c>
      <c r="I119" s="8">
        <v>24484.60626</v>
      </c>
      <c r="J119" s="12">
        <v>2.2691050000000001</v>
      </c>
      <c r="K119" s="7">
        <v>55.433845901091239</v>
      </c>
      <c r="L119" s="5">
        <v>0.55143183469772294</v>
      </c>
      <c r="M119" s="5">
        <v>55.143183469772296</v>
      </c>
      <c r="N119" s="17">
        <v>1.8251246000000001</v>
      </c>
      <c r="O119" s="21">
        <v>3.1939567000000002</v>
      </c>
      <c r="P119" s="22">
        <v>1.7953026999999999</v>
      </c>
      <c r="Q119" s="25">
        <f t="shared" si="5"/>
        <v>0</v>
      </c>
      <c r="R119">
        <v>0</v>
      </c>
      <c r="S119" s="24">
        <v>0</v>
      </c>
      <c r="T119">
        <f>Q119/100</f>
        <v>0</v>
      </c>
      <c r="U119">
        <f>R119/100</f>
        <v>0</v>
      </c>
      <c r="V119">
        <f>S119/100</f>
        <v>0</v>
      </c>
      <c r="W119">
        <v>0.73767000000000005</v>
      </c>
      <c r="X119">
        <v>0.39</v>
      </c>
      <c r="Y119">
        <v>0.39</v>
      </c>
      <c r="Z119" s="5">
        <f t="shared" si="6"/>
        <v>39</v>
      </c>
    </row>
    <row r="120" spans="1:26" x14ac:dyDescent="0.25">
      <c r="A120" t="s">
        <v>17</v>
      </c>
      <c r="B120">
        <v>4</v>
      </c>
      <c r="C120">
        <v>1985</v>
      </c>
      <c r="D120" s="5">
        <v>28.6</v>
      </c>
      <c r="E120" s="5">
        <v>46.6</v>
      </c>
      <c r="F120" s="5">
        <f t="shared" si="4"/>
        <v>18</v>
      </c>
      <c r="G120" s="7">
        <v>1.0607139400000001</v>
      </c>
      <c r="H120" s="7">
        <v>11.321582681196517</v>
      </c>
      <c r="I120" s="8">
        <v>25434.704288000001</v>
      </c>
      <c r="J120" s="12">
        <v>4.1474149999999996</v>
      </c>
      <c r="K120" s="7">
        <v>54.977297895612075</v>
      </c>
      <c r="L120" s="5">
        <v>0.55143183469772294</v>
      </c>
      <c r="M120" s="5">
        <v>55.143183469772296</v>
      </c>
      <c r="N120" s="17">
        <v>1.8253371</v>
      </c>
      <c r="O120" s="21">
        <v>3.2021402000000001</v>
      </c>
      <c r="P120" s="22">
        <v>1.799693</v>
      </c>
      <c r="Q120" s="25">
        <f t="shared" si="5"/>
        <v>0</v>
      </c>
      <c r="R120">
        <v>0</v>
      </c>
      <c r="S120" s="24">
        <v>0</v>
      </c>
      <c r="T120">
        <f>Q120/100</f>
        <v>0</v>
      </c>
      <c r="U120">
        <f>R120/100</f>
        <v>0</v>
      </c>
      <c r="V120">
        <f>S120/100</f>
        <v>0</v>
      </c>
      <c r="W120">
        <v>0.74856</v>
      </c>
      <c r="X120">
        <v>0.39900000000000002</v>
      </c>
      <c r="Y120">
        <v>0.39900000000000002</v>
      </c>
      <c r="Z120" s="5">
        <f t="shared" si="6"/>
        <v>39.900000000000006</v>
      </c>
    </row>
    <row r="121" spans="1:26" x14ac:dyDescent="0.25">
      <c r="A121" t="s">
        <v>17</v>
      </c>
      <c r="B121">
        <v>4</v>
      </c>
      <c r="C121">
        <v>1986</v>
      </c>
      <c r="D121" s="5">
        <v>29.7</v>
      </c>
      <c r="E121" s="5">
        <v>47.4</v>
      </c>
      <c r="F121" s="5">
        <f t="shared" si="4"/>
        <v>17.7</v>
      </c>
      <c r="G121" s="7">
        <v>1.0342761499999999</v>
      </c>
      <c r="H121" s="7">
        <v>10.780941228134377</v>
      </c>
      <c r="I121" s="8">
        <v>26175.81407</v>
      </c>
      <c r="J121" s="12">
        <v>3.1503410000000001</v>
      </c>
      <c r="K121" s="7">
        <v>50.550617702182002</v>
      </c>
      <c r="L121" s="5">
        <v>0.55143183469772294</v>
      </c>
      <c r="M121" s="5">
        <v>55.143183469772296</v>
      </c>
      <c r="N121" s="17">
        <v>1.8424720999999999</v>
      </c>
      <c r="O121" s="21">
        <v>3.2544868</v>
      </c>
      <c r="P121" s="22">
        <v>1.8121024999999999</v>
      </c>
      <c r="Q121" s="25">
        <f t="shared" si="5"/>
        <v>0</v>
      </c>
      <c r="R121">
        <v>0</v>
      </c>
      <c r="S121" s="24">
        <v>0</v>
      </c>
      <c r="T121">
        <f>Q121/100</f>
        <v>0</v>
      </c>
      <c r="U121">
        <f>R121/100</f>
        <v>0</v>
      </c>
      <c r="V121">
        <f>S121/100</f>
        <v>0</v>
      </c>
      <c r="W121">
        <v>0.74704999999999999</v>
      </c>
      <c r="X121">
        <v>0.39800000000000002</v>
      </c>
      <c r="Y121">
        <v>0.39800000000000002</v>
      </c>
      <c r="Z121" s="5">
        <f t="shared" si="6"/>
        <v>39.800000000000004</v>
      </c>
    </row>
    <row r="122" spans="1:26" x14ac:dyDescent="0.25">
      <c r="A122" t="s">
        <v>17</v>
      </c>
      <c r="B122">
        <v>4</v>
      </c>
      <c r="C122">
        <v>1987</v>
      </c>
      <c r="D122" s="5">
        <v>30.7</v>
      </c>
      <c r="E122" s="5">
        <v>48</v>
      </c>
      <c r="F122" s="5">
        <f t="shared" si="4"/>
        <v>17.3</v>
      </c>
      <c r="G122" s="7">
        <v>1.0414891799999999</v>
      </c>
      <c r="H122" s="7">
        <v>10.847799466973997</v>
      </c>
      <c r="I122" s="8">
        <v>27529.128073</v>
      </c>
      <c r="J122" s="12">
        <v>5.3927379999999996</v>
      </c>
      <c r="K122" s="7">
        <v>49.917069950544452</v>
      </c>
      <c r="L122" s="5">
        <v>0.55143183469772294</v>
      </c>
      <c r="M122" s="5">
        <v>55.143183469772296</v>
      </c>
      <c r="N122" s="17">
        <v>1.8617428</v>
      </c>
      <c r="O122" s="21">
        <v>3.3254462999999999</v>
      </c>
      <c r="P122" s="22">
        <v>1.8324471</v>
      </c>
      <c r="Q122" s="25">
        <f t="shared" si="5"/>
        <v>0</v>
      </c>
      <c r="R122">
        <v>0</v>
      </c>
      <c r="S122" s="24">
        <v>0</v>
      </c>
      <c r="T122">
        <f>Q122/100</f>
        <v>0</v>
      </c>
      <c r="U122">
        <f>R122/100</f>
        <v>0</v>
      </c>
      <c r="V122">
        <f>S122/100</f>
        <v>0</v>
      </c>
      <c r="W122">
        <v>0.75443000000000005</v>
      </c>
      <c r="X122">
        <v>0.41399999999999998</v>
      </c>
      <c r="Y122">
        <v>0.41399999999999998</v>
      </c>
      <c r="Z122" s="5">
        <f t="shared" si="6"/>
        <v>41.4</v>
      </c>
    </row>
    <row r="123" spans="1:26" x14ac:dyDescent="0.25">
      <c r="A123" t="s">
        <v>17</v>
      </c>
      <c r="B123">
        <v>4</v>
      </c>
      <c r="C123">
        <v>1988</v>
      </c>
      <c r="D123" s="5">
        <v>31.5</v>
      </c>
      <c r="E123" s="5">
        <v>48.1</v>
      </c>
      <c r="F123" s="5">
        <f t="shared" si="4"/>
        <v>16.600000000000001</v>
      </c>
      <c r="G123" s="7">
        <v>1.0420940000000001</v>
      </c>
      <c r="H123" s="7">
        <v>8.8142446706629318</v>
      </c>
      <c r="I123" s="8">
        <v>29049.934037999999</v>
      </c>
      <c r="J123" s="12">
        <v>5.7324140000000003</v>
      </c>
      <c r="K123" s="7">
        <v>47.379193270675884</v>
      </c>
      <c r="L123" s="5">
        <v>0.55035716295242298</v>
      </c>
      <c r="M123" s="5">
        <v>55.035716295242295</v>
      </c>
      <c r="N123" s="17">
        <v>1.8795611999999999</v>
      </c>
      <c r="O123" s="21">
        <v>3.3943789999999998</v>
      </c>
      <c r="P123" s="22">
        <v>1.8526997999999999</v>
      </c>
      <c r="Q123" s="25">
        <f t="shared" si="5"/>
        <v>0</v>
      </c>
      <c r="R123">
        <v>0</v>
      </c>
      <c r="S123" s="24">
        <v>0</v>
      </c>
      <c r="T123">
        <f>Q123/100</f>
        <v>0</v>
      </c>
      <c r="U123">
        <f>R123/100</f>
        <v>0</v>
      </c>
      <c r="V123">
        <f>S123/100</f>
        <v>0</v>
      </c>
      <c r="W123">
        <v>0.74941999999999998</v>
      </c>
      <c r="X123">
        <v>0.40600000000000003</v>
      </c>
      <c r="Y123">
        <v>0.40600000000000003</v>
      </c>
      <c r="Z123" s="5">
        <f t="shared" si="6"/>
        <v>40.6</v>
      </c>
    </row>
    <row r="124" spans="1:26" x14ac:dyDescent="0.25">
      <c r="A124" t="s">
        <v>17</v>
      </c>
      <c r="B124">
        <v>4</v>
      </c>
      <c r="C124">
        <v>1989</v>
      </c>
      <c r="D124" s="5">
        <v>31.8</v>
      </c>
      <c r="E124" s="5">
        <v>48.3</v>
      </c>
      <c r="F124" s="5">
        <f t="shared" si="4"/>
        <v>16.499999999999996</v>
      </c>
      <c r="G124" s="7">
        <v>1.0580912899999999</v>
      </c>
      <c r="H124" s="7">
        <v>7.2491615427613194</v>
      </c>
      <c r="I124" s="8">
        <v>29714.671157000001</v>
      </c>
      <c r="J124" s="12">
        <v>2.5776029999999999</v>
      </c>
      <c r="K124" s="7">
        <v>48.696141829299286</v>
      </c>
      <c r="L124" s="5">
        <v>0.55672466754913297</v>
      </c>
      <c r="M124" s="5">
        <v>55.672466754913295</v>
      </c>
      <c r="N124" s="17">
        <v>1.8749260999999999</v>
      </c>
      <c r="O124" s="21">
        <v>3.4060495999999998</v>
      </c>
      <c r="P124" s="22">
        <v>1.8636657000000001</v>
      </c>
      <c r="Q124" s="25">
        <f t="shared" si="5"/>
        <v>0</v>
      </c>
      <c r="R124">
        <v>0</v>
      </c>
      <c r="S124" s="24">
        <v>0</v>
      </c>
      <c r="T124">
        <f>Q124/100</f>
        <v>0</v>
      </c>
      <c r="U124">
        <f>R124/100</f>
        <v>0</v>
      </c>
      <c r="V124">
        <f>S124/100</f>
        <v>0</v>
      </c>
      <c r="W124">
        <v>0.74490999999999996</v>
      </c>
      <c r="X124">
        <v>0.40400000000000003</v>
      </c>
      <c r="Y124">
        <v>0.40400000000000003</v>
      </c>
      <c r="Z124" s="5">
        <f t="shared" si="6"/>
        <v>40.400000000000006</v>
      </c>
    </row>
    <row r="125" spans="1:26" x14ac:dyDescent="0.25">
      <c r="A125" t="s">
        <v>17</v>
      </c>
      <c r="B125">
        <v>4</v>
      </c>
      <c r="C125">
        <v>1990</v>
      </c>
      <c r="D125" s="5">
        <v>32.4</v>
      </c>
      <c r="E125" s="5">
        <v>49</v>
      </c>
      <c r="F125" s="5">
        <f t="shared" si="4"/>
        <v>16.600000000000001</v>
      </c>
      <c r="G125" s="7">
        <v>1.0803921599999999</v>
      </c>
      <c r="H125" s="7">
        <v>6.8560711308696858</v>
      </c>
      <c r="I125" s="8">
        <v>29848.508979999999</v>
      </c>
      <c r="J125" s="12">
        <v>0.73375500000000005</v>
      </c>
      <c r="K125" s="7">
        <v>48.270415301629271</v>
      </c>
      <c r="L125" s="5">
        <v>0.57584363222122203</v>
      </c>
      <c r="M125" s="5">
        <v>57.584363222122207</v>
      </c>
      <c r="N125" s="17">
        <v>1.8820779999999999</v>
      </c>
      <c r="O125" s="21">
        <v>3.4274912</v>
      </c>
      <c r="P125" s="22">
        <v>1.8682711999999999</v>
      </c>
      <c r="Q125" s="25">
        <f t="shared" si="5"/>
        <v>0</v>
      </c>
      <c r="R125">
        <v>0</v>
      </c>
      <c r="S125" s="24">
        <v>0</v>
      </c>
      <c r="T125">
        <f>Q125/100</f>
        <v>0</v>
      </c>
      <c r="U125">
        <f>R125/100</f>
        <v>0</v>
      </c>
      <c r="V125">
        <f>S125/100</f>
        <v>0</v>
      </c>
      <c r="W125">
        <v>0.74616000000000005</v>
      </c>
      <c r="X125">
        <v>0.41199999999999998</v>
      </c>
      <c r="Y125">
        <v>0.41199999999999998</v>
      </c>
      <c r="Z125" s="5">
        <f t="shared" si="6"/>
        <v>41.199999999999996</v>
      </c>
    </row>
    <row r="126" spans="1:26" x14ac:dyDescent="0.25">
      <c r="A126" t="s">
        <v>17</v>
      </c>
      <c r="B126">
        <v>4</v>
      </c>
      <c r="C126">
        <v>1991</v>
      </c>
      <c r="D126" s="5">
        <v>32.6</v>
      </c>
      <c r="E126" s="5">
        <v>49.8</v>
      </c>
      <c r="F126" s="5">
        <f t="shared" si="4"/>
        <v>17.199999999999996</v>
      </c>
      <c r="G126" s="7">
        <v>1.07441016</v>
      </c>
      <c r="H126" s="7">
        <v>8.4045133396604452</v>
      </c>
      <c r="I126" s="8">
        <v>29415.945027999998</v>
      </c>
      <c r="J126" s="12">
        <v>-1.1031219999999999</v>
      </c>
      <c r="K126" s="7">
        <v>45.336253599725914</v>
      </c>
      <c r="L126" s="5">
        <v>0.58201324939727805</v>
      </c>
      <c r="M126" s="5">
        <v>58.201324939727805</v>
      </c>
      <c r="N126" s="17">
        <v>1.8540715000000001</v>
      </c>
      <c r="O126" s="21">
        <v>3.3829452</v>
      </c>
      <c r="P126" s="22">
        <v>1.8718440999999999</v>
      </c>
      <c r="Q126" s="25">
        <f t="shared" si="5"/>
        <v>0</v>
      </c>
      <c r="R126">
        <v>0</v>
      </c>
      <c r="S126" s="24">
        <v>0</v>
      </c>
      <c r="T126">
        <f>Q126/100</f>
        <v>0</v>
      </c>
      <c r="U126">
        <f>R126/100</f>
        <v>0</v>
      </c>
      <c r="V126">
        <f>S126/100</f>
        <v>0</v>
      </c>
      <c r="W126">
        <v>0.75271999999999994</v>
      </c>
      <c r="X126">
        <v>0.41699999999999998</v>
      </c>
      <c r="Y126">
        <v>0.41699999999999998</v>
      </c>
      <c r="Z126" s="5">
        <f t="shared" si="6"/>
        <v>41.699999999999996</v>
      </c>
    </row>
    <row r="127" spans="1:26" x14ac:dyDescent="0.25">
      <c r="A127" t="s">
        <v>17</v>
      </c>
      <c r="B127">
        <v>4</v>
      </c>
      <c r="C127">
        <v>1992</v>
      </c>
      <c r="D127" s="5">
        <v>32.700000000000003</v>
      </c>
      <c r="E127" s="5">
        <v>51</v>
      </c>
      <c r="F127" s="5">
        <f t="shared" si="4"/>
        <v>18.299999999999997</v>
      </c>
      <c r="G127" s="7">
        <v>1.0456081100000001</v>
      </c>
      <c r="H127" s="7">
        <v>9.6992934994852131</v>
      </c>
      <c r="I127" s="8">
        <v>29459.047302999999</v>
      </c>
      <c r="J127" s="12">
        <v>0.40108199999999999</v>
      </c>
      <c r="K127" s="7">
        <v>46.326685957421489</v>
      </c>
      <c r="L127" s="5">
        <v>0.57981961965560902</v>
      </c>
      <c r="M127" s="5">
        <v>57.981961965560899</v>
      </c>
      <c r="N127" s="17">
        <v>1.8624734000000001</v>
      </c>
      <c r="O127" s="21">
        <v>3.4019260999999998</v>
      </c>
      <c r="P127" s="22">
        <v>1.873855</v>
      </c>
      <c r="Q127" s="25">
        <f t="shared" si="5"/>
        <v>0</v>
      </c>
      <c r="R127">
        <v>0</v>
      </c>
      <c r="S127" s="24">
        <v>0</v>
      </c>
      <c r="T127">
        <f>Q127/100</f>
        <v>0</v>
      </c>
      <c r="U127">
        <f>R127/100</f>
        <v>0</v>
      </c>
      <c r="V127">
        <f>S127/100</f>
        <v>0</v>
      </c>
      <c r="W127">
        <v>0.76409000000000005</v>
      </c>
      <c r="X127">
        <v>0.42599999999999999</v>
      </c>
      <c r="Y127">
        <v>0.42599999999999999</v>
      </c>
      <c r="Z127" s="5">
        <f t="shared" si="6"/>
        <v>42.6</v>
      </c>
    </row>
    <row r="128" spans="1:26" x14ac:dyDescent="0.25">
      <c r="A128" t="s">
        <v>17</v>
      </c>
      <c r="B128">
        <v>4</v>
      </c>
      <c r="C128">
        <v>1993</v>
      </c>
      <c r="D128" s="5">
        <v>33.1</v>
      </c>
      <c r="E128" s="5">
        <v>52.2</v>
      </c>
      <c r="F128" s="5">
        <f t="shared" si="4"/>
        <v>19.100000000000001</v>
      </c>
      <c r="G128" s="7">
        <v>1.0258481399999999</v>
      </c>
      <c r="H128" s="7">
        <v>10.326339493155091</v>
      </c>
      <c r="I128" s="8">
        <v>30125.042664000001</v>
      </c>
      <c r="J128" s="12">
        <v>2.4898310000000001</v>
      </c>
      <c r="K128" s="7">
        <v>49.770852749761914</v>
      </c>
      <c r="L128" s="5">
        <v>0.56387525796890303</v>
      </c>
      <c r="M128" s="5">
        <v>56.387525796890301</v>
      </c>
      <c r="N128" s="17">
        <v>1.8610331</v>
      </c>
      <c r="O128" s="21">
        <v>3.4206305000000001</v>
      </c>
      <c r="P128" s="22">
        <v>1.885616</v>
      </c>
      <c r="Q128" s="25">
        <f t="shared" si="5"/>
        <v>0</v>
      </c>
      <c r="R128">
        <v>0</v>
      </c>
      <c r="S128" s="24">
        <v>0</v>
      </c>
      <c r="T128">
        <f>Q128/100</f>
        <v>0</v>
      </c>
      <c r="U128">
        <f>R128/100</f>
        <v>0</v>
      </c>
      <c r="V128">
        <f>S128/100</f>
        <v>0</v>
      </c>
      <c r="W128">
        <v>0.76854999999999996</v>
      </c>
      <c r="X128">
        <v>0.42699999999999999</v>
      </c>
      <c r="Y128">
        <v>0.42699999999999999</v>
      </c>
      <c r="Z128" s="5">
        <f t="shared" si="6"/>
        <v>42.699999999999996</v>
      </c>
    </row>
    <row r="129" spans="1:26" x14ac:dyDescent="0.25">
      <c r="A129" t="s">
        <v>17</v>
      </c>
      <c r="B129">
        <v>4</v>
      </c>
      <c r="C129">
        <v>1994</v>
      </c>
      <c r="D129" s="5">
        <v>33.700000000000003</v>
      </c>
      <c r="E129" s="5">
        <v>53.5</v>
      </c>
      <c r="F129" s="5">
        <f t="shared" si="4"/>
        <v>19.799999999999997</v>
      </c>
      <c r="G129" s="7">
        <v>1.02204724</v>
      </c>
      <c r="H129" s="7">
        <v>9.6105662538478054</v>
      </c>
      <c r="I129" s="8">
        <v>31203.636924999999</v>
      </c>
      <c r="J129" s="12">
        <v>3.846009</v>
      </c>
      <c r="K129" s="7">
        <v>51.910064868839875</v>
      </c>
      <c r="L129" s="5">
        <v>0.54994559288024902</v>
      </c>
      <c r="M129" s="5">
        <v>54.994559288024902</v>
      </c>
      <c r="N129" s="17">
        <v>1.8547388</v>
      </c>
      <c r="O129" s="21">
        <v>3.4058584999999999</v>
      </c>
      <c r="P129" s="22">
        <v>1.8838444000000001</v>
      </c>
      <c r="Q129" s="25">
        <f t="shared" si="5"/>
        <v>0.82360000000000011</v>
      </c>
      <c r="R129">
        <v>0.12609999999999999</v>
      </c>
      <c r="S129" s="24">
        <v>0.69750000000000012</v>
      </c>
      <c r="T129">
        <f>Q129/100</f>
        <v>8.2360000000000003E-3</v>
      </c>
      <c r="U129">
        <f>R129/100</f>
        <v>1.261E-3</v>
      </c>
      <c r="V129">
        <f>S129/100</f>
        <v>6.9750000000000012E-3</v>
      </c>
      <c r="W129">
        <v>0.77166999999999997</v>
      </c>
      <c r="X129">
        <v>0.40699999999999997</v>
      </c>
      <c r="Y129">
        <v>0.40699999999999997</v>
      </c>
      <c r="Z129" s="5">
        <f t="shared" si="6"/>
        <v>40.699999999999996</v>
      </c>
    </row>
    <row r="130" spans="1:26" x14ac:dyDescent="0.25">
      <c r="A130" t="s">
        <v>17</v>
      </c>
      <c r="B130">
        <v>4</v>
      </c>
      <c r="C130">
        <v>1995</v>
      </c>
      <c r="D130" s="5">
        <v>33.700000000000003</v>
      </c>
      <c r="E130" s="5">
        <v>54</v>
      </c>
      <c r="F130" s="5">
        <f t="shared" ref="F130:F193" si="7">E130-D130</f>
        <v>20.299999999999997</v>
      </c>
      <c r="G130" s="7">
        <v>1.02619415</v>
      </c>
      <c r="H130" s="7">
        <v>8.6252016490410455</v>
      </c>
      <c r="I130" s="8">
        <v>31903.735710000001</v>
      </c>
      <c r="J130" s="12">
        <v>2.5316700000000001</v>
      </c>
      <c r="K130" s="7">
        <v>50.963746531672996</v>
      </c>
      <c r="L130" s="5">
        <v>0.54422229528427102</v>
      </c>
      <c r="M130" s="5">
        <v>54.422229528427103</v>
      </c>
      <c r="N130" s="17">
        <v>1.8895947</v>
      </c>
      <c r="O130" s="21">
        <v>3.4891682999999998</v>
      </c>
      <c r="P130" s="22">
        <v>1.8943247999999999</v>
      </c>
      <c r="Q130" s="25">
        <f t="shared" si="5"/>
        <v>0.27451999999999999</v>
      </c>
      <c r="R130">
        <v>4.2029999999999991E-2</v>
      </c>
      <c r="S130" s="24">
        <v>0.23249</v>
      </c>
      <c r="T130">
        <f>Q130/100</f>
        <v>2.7451999999999997E-3</v>
      </c>
      <c r="U130">
        <f>R130/100</f>
        <v>4.2029999999999992E-4</v>
      </c>
      <c r="V130">
        <f>S130/100</f>
        <v>2.3249E-3</v>
      </c>
      <c r="W130">
        <v>0.76800000000000002</v>
      </c>
      <c r="X130">
        <v>0.40200000000000002</v>
      </c>
      <c r="Y130">
        <v>0.40200000000000002</v>
      </c>
      <c r="Z130" s="5">
        <f t="shared" si="6"/>
        <v>40.200000000000003</v>
      </c>
    </row>
    <row r="131" spans="1:26" x14ac:dyDescent="0.25">
      <c r="A131" t="s">
        <v>17</v>
      </c>
      <c r="B131">
        <v>4</v>
      </c>
      <c r="C131">
        <v>1996</v>
      </c>
      <c r="D131" s="5">
        <v>33.6</v>
      </c>
      <c r="E131" s="5">
        <v>53.8</v>
      </c>
      <c r="F131" s="5">
        <f t="shared" si="7"/>
        <v>20.199999999999996</v>
      </c>
      <c r="G131" s="7">
        <v>1.02852853</v>
      </c>
      <c r="H131" s="7">
        <v>8.1441016852327905</v>
      </c>
      <c r="I131" s="8">
        <v>32434.670438000001</v>
      </c>
      <c r="J131" s="12">
        <v>1.907716</v>
      </c>
      <c r="K131" s="7">
        <v>52.210570442179929</v>
      </c>
      <c r="L131" s="5">
        <v>0.53398752212524403</v>
      </c>
      <c r="M131" s="5">
        <v>53.3987522125244</v>
      </c>
      <c r="N131" s="17">
        <v>1.8721494999999999</v>
      </c>
      <c r="O131" s="21">
        <v>3.4889937999999998</v>
      </c>
      <c r="P131" s="22">
        <v>1.9118809999999999</v>
      </c>
      <c r="Q131" s="25">
        <f t="shared" ref="Q131:Q194" si="8">R131+S131</f>
        <v>0.31611</v>
      </c>
      <c r="R131">
        <v>0.31611</v>
      </c>
      <c r="S131" s="24">
        <v>0</v>
      </c>
      <c r="T131">
        <f>Q131/100</f>
        <v>3.1611E-3</v>
      </c>
      <c r="U131">
        <f>R131/100</f>
        <v>3.1611E-3</v>
      </c>
      <c r="V131">
        <f>S131/100</f>
        <v>0</v>
      </c>
      <c r="W131">
        <v>0.76536000000000004</v>
      </c>
      <c r="X131">
        <v>0.40100000000000002</v>
      </c>
      <c r="Y131">
        <v>0.40100000000000002</v>
      </c>
      <c r="Z131" s="5">
        <f t="shared" si="6"/>
        <v>40.1</v>
      </c>
    </row>
    <row r="132" spans="1:26" x14ac:dyDescent="0.25">
      <c r="A132" t="s">
        <v>17</v>
      </c>
      <c r="B132">
        <v>4</v>
      </c>
      <c r="C132">
        <v>1997</v>
      </c>
      <c r="D132" s="5">
        <v>33.9</v>
      </c>
      <c r="E132" s="5">
        <v>53.7</v>
      </c>
      <c r="F132" s="5">
        <f t="shared" si="7"/>
        <v>19.800000000000004</v>
      </c>
      <c r="G132" s="7">
        <v>1.02189781</v>
      </c>
      <c r="H132" s="7">
        <v>7.0542663207647749</v>
      </c>
      <c r="I132" s="8">
        <v>33814.831138000001</v>
      </c>
      <c r="J132" s="12">
        <v>4.5240669999999996</v>
      </c>
      <c r="K132" s="7">
        <v>50.954450538391868</v>
      </c>
      <c r="L132" s="5">
        <v>0.55085921287536599</v>
      </c>
      <c r="M132" s="5">
        <v>55.0859212875366</v>
      </c>
      <c r="N132" s="17">
        <v>1.8574883</v>
      </c>
      <c r="O132" s="21">
        <v>3.4224345999999999</v>
      </c>
      <c r="P132" s="22">
        <v>1.8902108</v>
      </c>
      <c r="Q132" s="25">
        <f t="shared" si="8"/>
        <v>0.79645999999999995</v>
      </c>
      <c r="R132">
        <v>0.33318999999999999</v>
      </c>
      <c r="S132" s="24">
        <v>0.46327000000000002</v>
      </c>
      <c r="T132">
        <f>Q132/100</f>
        <v>7.9645999999999988E-3</v>
      </c>
      <c r="U132">
        <f>R132/100</f>
        <v>3.3319000000000001E-3</v>
      </c>
      <c r="V132">
        <f>S132/100</f>
        <v>4.6327E-3</v>
      </c>
      <c r="W132">
        <v>0.75944</v>
      </c>
      <c r="X132">
        <v>0.40699999999999997</v>
      </c>
      <c r="Y132">
        <v>0.40699999999999997</v>
      </c>
      <c r="Z132" s="5">
        <f t="shared" si="6"/>
        <v>40.699999999999996</v>
      </c>
    </row>
    <row r="133" spans="1:26" x14ac:dyDescent="0.25">
      <c r="A133" t="s">
        <v>17</v>
      </c>
      <c r="B133">
        <v>4</v>
      </c>
      <c r="C133">
        <v>1998</v>
      </c>
      <c r="D133" s="5">
        <v>34.299999999999997</v>
      </c>
      <c r="E133" s="5">
        <v>54</v>
      </c>
      <c r="F133" s="5">
        <f t="shared" si="7"/>
        <v>19.700000000000003</v>
      </c>
      <c r="G133" s="7">
        <v>1.0185714299999999</v>
      </c>
      <c r="H133" s="7">
        <v>6.1275294285003019</v>
      </c>
      <c r="I133" s="8">
        <v>34786.420159000001</v>
      </c>
      <c r="J133" s="12">
        <v>3.1572870000000002</v>
      </c>
      <c r="K133" s="7">
        <v>49.31023509845636</v>
      </c>
      <c r="L133" s="5">
        <v>0.55723530054092396</v>
      </c>
      <c r="M133" s="5">
        <v>55.723530054092393</v>
      </c>
      <c r="N133" s="17">
        <v>1.8635649999999999</v>
      </c>
      <c r="O133" s="21">
        <v>3.4798010000000001</v>
      </c>
      <c r="P133" s="22">
        <v>1.9156274</v>
      </c>
      <c r="Q133" s="25">
        <f t="shared" si="8"/>
        <v>0.40167000000000003</v>
      </c>
      <c r="R133">
        <v>5.800000000000001E-2</v>
      </c>
      <c r="S133" s="24">
        <v>0.34367000000000003</v>
      </c>
      <c r="T133">
        <f>Q133/100</f>
        <v>4.0167000000000007E-3</v>
      </c>
      <c r="U133">
        <f>R133/100</f>
        <v>5.8000000000000011E-4</v>
      </c>
      <c r="V133">
        <f>S133/100</f>
        <v>3.4367000000000004E-3</v>
      </c>
      <c r="W133">
        <v>0.76165000000000005</v>
      </c>
      <c r="X133">
        <v>0.40899999999999997</v>
      </c>
      <c r="Y133">
        <v>0.40899999999999997</v>
      </c>
      <c r="Z133" s="5">
        <f t="shared" si="6"/>
        <v>40.9</v>
      </c>
    </row>
    <row r="134" spans="1:26" x14ac:dyDescent="0.25">
      <c r="A134" t="s">
        <v>17</v>
      </c>
      <c r="B134">
        <v>4</v>
      </c>
      <c r="C134">
        <v>1999</v>
      </c>
      <c r="D134" s="5">
        <v>34.700000000000003</v>
      </c>
      <c r="E134" s="5">
        <v>54.2</v>
      </c>
      <c r="F134" s="5">
        <f t="shared" si="7"/>
        <v>19.5</v>
      </c>
      <c r="G134" s="7">
        <v>1.0182328199999999</v>
      </c>
      <c r="H134" s="7">
        <v>5.9778779766098351</v>
      </c>
      <c r="I134" s="8">
        <v>35707.283235000003</v>
      </c>
      <c r="J134" s="12">
        <v>3.0140699999999998</v>
      </c>
      <c r="K134" s="7">
        <v>49.580711583584737</v>
      </c>
      <c r="L134" s="5">
        <v>0.57967984676361095</v>
      </c>
      <c r="M134" s="5">
        <v>57.967984676361098</v>
      </c>
      <c r="N134" s="17">
        <v>1.8341911</v>
      </c>
      <c r="O134" s="21">
        <v>3.4499314999999999</v>
      </c>
      <c r="P134" s="22">
        <v>1.9295990000000001</v>
      </c>
      <c r="Q134" s="25">
        <f t="shared" si="8"/>
        <v>0.23379000000000003</v>
      </c>
      <c r="R134">
        <v>-5.9799999999999983E-3</v>
      </c>
      <c r="S134" s="24">
        <v>0.23977000000000001</v>
      </c>
      <c r="T134">
        <f>Q134/100</f>
        <v>2.3379000000000004E-3</v>
      </c>
      <c r="U134">
        <f>R134/100</f>
        <v>-5.9799999999999983E-5</v>
      </c>
      <c r="V134">
        <f>S134/100</f>
        <v>2.3977E-3</v>
      </c>
      <c r="W134">
        <v>0.75575999999999999</v>
      </c>
      <c r="X134">
        <v>0.40400000000000003</v>
      </c>
      <c r="Y134">
        <v>0.40400000000000003</v>
      </c>
      <c r="Z134" s="5">
        <f t="shared" si="6"/>
        <v>40.400000000000006</v>
      </c>
    </row>
    <row r="135" spans="1:26" x14ac:dyDescent="0.25">
      <c r="A135" t="s">
        <v>17</v>
      </c>
      <c r="B135">
        <v>4</v>
      </c>
      <c r="C135">
        <v>2000</v>
      </c>
      <c r="D135" s="5">
        <v>34.9</v>
      </c>
      <c r="E135" s="5">
        <v>54.3</v>
      </c>
      <c r="F135" s="5">
        <f t="shared" si="7"/>
        <v>19.399999999999999</v>
      </c>
      <c r="G135" s="7">
        <v>1.01101928</v>
      </c>
      <c r="H135" s="7">
        <v>5.4591424296107736</v>
      </c>
      <c r="I135" s="8">
        <v>37041.156836000002</v>
      </c>
      <c r="J135" s="12">
        <v>4.0926530000000003</v>
      </c>
      <c r="K135" s="7">
        <v>52.46966107036053</v>
      </c>
      <c r="L135" s="5">
        <v>0.58840501308441195</v>
      </c>
      <c r="M135" s="5">
        <v>58.840501308441198</v>
      </c>
      <c r="N135" s="17">
        <v>1.8425908</v>
      </c>
      <c r="O135" s="21">
        <v>3.461144</v>
      </c>
      <c r="P135" s="22">
        <v>1.9270453999999999</v>
      </c>
      <c r="Q135" s="25">
        <f t="shared" si="8"/>
        <v>0</v>
      </c>
      <c r="R135">
        <v>0</v>
      </c>
      <c r="S135" s="24">
        <v>0</v>
      </c>
      <c r="T135">
        <f>Q135/100</f>
        <v>0</v>
      </c>
      <c r="U135">
        <f>R135/100</f>
        <v>0</v>
      </c>
      <c r="V135">
        <f>S135/100</f>
        <v>0</v>
      </c>
      <c r="W135">
        <v>0.75829000000000002</v>
      </c>
      <c r="X135">
        <v>0.41299999999999998</v>
      </c>
      <c r="Y135">
        <v>0.41299999999999998</v>
      </c>
      <c r="Z135" s="5">
        <f t="shared" si="6"/>
        <v>41.3</v>
      </c>
    </row>
    <row r="136" spans="1:26" x14ac:dyDescent="0.25">
      <c r="A136" t="s">
        <v>17</v>
      </c>
      <c r="B136">
        <v>4</v>
      </c>
      <c r="C136">
        <v>2001</v>
      </c>
      <c r="D136" s="5">
        <v>34.4</v>
      </c>
      <c r="E136" s="5">
        <v>53.9</v>
      </c>
      <c r="F136" s="5">
        <f t="shared" si="7"/>
        <v>19.5</v>
      </c>
      <c r="G136" s="7">
        <v>1.01634877</v>
      </c>
      <c r="H136" s="7">
        <v>5.0976027397260273</v>
      </c>
      <c r="I136" s="8">
        <v>37694.982569</v>
      </c>
      <c r="J136" s="12">
        <v>2.1574279999999999</v>
      </c>
      <c r="K136" s="7">
        <v>52.80685012000982</v>
      </c>
      <c r="L136" s="5">
        <v>0.60084056854248002</v>
      </c>
      <c r="M136" s="5">
        <v>60.084056854248004</v>
      </c>
      <c r="N136" s="17">
        <v>1.8427465999999999</v>
      </c>
      <c r="O136" s="21">
        <v>3.5262343999999999</v>
      </c>
      <c r="P136" s="22">
        <v>1.9631196</v>
      </c>
      <c r="Q136" s="25">
        <f t="shared" si="8"/>
        <v>0</v>
      </c>
      <c r="R136">
        <v>0</v>
      </c>
      <c r="S136" s="24">
        <v>0</v>
      </c>
      <c r="T136">
        <f>Q136/100</f>
        <v>0</v>
      </c>
      <c r="U136">
        <f>R136/100</f>
        <v>0</v>
      </c>
      <c r="V136">
        <f>S136/100</f>
        <v>0</v>
      </c>
      <c r="W136">
        <v>0.75405999999999995</v>
      </c>
      <c r="X136">
        <v>0.40799999999999997</v>
      </c>
      <c r="Y136">
        <v>0.40799999999999997</v>
      </c>
      <c r="Z136" s="5">
        <f t="shared" si="6"/>
        <v>40.799999999999997</v>
      </c>
    </row>
    <row r="137" spans="1:26" x14ac:dyDescent="0.25">
      <c r="A137" t="s">
        <v>17</v>
      </c>
      <c r="B137">
        <v>4</v>
      </c>
      <c r="C137">
        <v>2002</v>
      </c>
      <c r="D137" s="5">
        <v>33.6</v>
      </c>
      <c r="E137" s="5">
        <v>53.3</v>
      </c>
      <c r="F137" s="5">
        <f t="shared" si="7"/>
        <v>19.699999999999996</v>
      </c>
      <c r="G137" s="7">
        <v>1.0147453099999999</v>
      </c>
      <c r="H137" s="7">
        <v>5.1845819761129208</v>
      </c>
      <c r="I137" s="8">
        <v>38198.982942000002</v>
      </c>
      <c r="J137" s="12">
        <v>1.7707649999999999</v>
      </c>
      <c r="K137" s="7">
        <v>51.307956677003652</v>
      </c>
      <c r="L137" s="5">
        <v>0.59301739931106601</v>
      </c>
      <c r="M137" s="5">
        <v>59.301739931106603</v>
      </c>
      <c r="N137" s="17">
        <v>1.8322639000000001</v>
      </c>
      <c r="O137" s="21">
        <v>3.5408830999999998</v>
      </c>
      <c r="P137" s="22">
        <v>1.9825526</v>
      </c>
      <c r="Q137" s="25">
        <f t="shared" si="8"/>
        <v>0</v>
      </c>
      <c r="R137">
        <v>0</v>
      </c>
      <c r="S137" s="24">
        <v>0</v>
      </c>
      <c r="T137">
        <f>Q137/100</f>
        <v>0</v>
      </c>
      <c r="U137">
        <f>R137/100</f>
        <v>0</v>
      </c>
      <c r="V137">
        <f>S137/100</f>
        <v>0</v>
      </c>
      <c r="W137">
        <v>0.75058000000000002</v>
      </c>
      <c r="X137">
        <v>0.40400000000000003</v>
      </c>
      <c r="Y137">
        <v>0.40400000000000003</v>
      </c>
      <c r="Z137" s="5">
        <f t="shared" si="6"/>
        <v>40.400000000000006</v>
      </c>
    </row>
    <row r="138" spans="1:26" x14ac:dyDescent="0.25">
      <c r="A138" t="s">
        <v>17</v>
      </c>
      <c r="B138">
        <v>4</v>
      </c>
      <c r="C138">
        <v>2003</v>
      </c>
      <c r="D138" s="5">
        <v>33.1</v>
      </c>
      <c r="E138" s="5">
        <v>53.2</v>
      </c>
      <c r="F138" s="5">
        <f t="shared" si="7"/>
        <v>20.100000000000001</v>
      </c>
      <c r="G138" s="7">
        <v>1.0132100399999999</v>
      </c>
      <c r="H138" s="7">
        <v>5.0082461041365152</v>
      </c>
      <c r="I138" s="8">
        <v>39212.954242</v>
      </c>
      <c r="J138" s="12">
        <v>3.1230530000000001</v>
      </c>
      <c r="K138" s="7">
        <v>50.118482942028699</v>
      </c>
      <c r="L138" s="5">
        <v>0.58760732412338301</v>
      </c>
      <c r="M138" s="5">
        <v>58.760732412338299</v>
      </c>
      <c r="N138" s="17">
        <v>1.8230907999999999</v>
      </c>
      <c r="O138" s="21">
        <v>3.5261268000000001</v>
      </c>
      <c r="P138" s="22">
        <v>1.9842245000000001</v>
      </c>
      <c r="Q138" s="25">
        <f t="shared" si="8"/>
        <v>0</v>
      </c>
      <c r="R138">
        <v>0</v>
      </c>
      <c r="S138" s="24">
        <v>0</v>
      </c>
      <c r="T138">
        <f>Q138/100</f>
        <v>0</v>
      </c>
      <c r="U138">
        <f>R138/100</f>
        <v>0</v>
      </c>
      <c r="V138">
        <f>S138/100</f>
        <v>0</v>
      </c>
      <c r="W138">
        <v>0.75307999999999997</v>
      </c>
      <c r="X138">
        <v>0.40699999999999997</v>
      </c>
      <c r="Y138">
        <v>0.40699999999999997</v>
      </c>
      <c r="Z138" s="5">
        <f t="shared" si="6"/>
        <v>40.699999999999996</v>
      </c>
    </row>
    <row r="139" spans="1:26" x14ac:dyDescent="0.25">
      <c r="A139" t="s">
        <v>17</v>
      </c>
      <c r="B139">
        <v>4</v>
      </c>
      <c r="C139">
        <v>2004</v>
      </c>
      <c r="D139" s="5">
        <v>33</v>
      </c>
      <c r="E139" s="5">
        <v>53.3</v>
      </c>
      <c r="F139" s="5">
        <f t="shared" si="7"/>
        <v>20.299999999999997</v>
      </c>
      <c r="G139" s="7">
        <v>1.0143415899999999</v>
      </c>
      <c r="H139" s="7">
        <v>4.747081062585023</v>
      </c>
      <c r="I139" s="8">
        <v>39922.954409999998</v>
      </c>
      <c r="J139" s="12">
        <v>2.3449710000000001</v>
      </c>
      <c r="K139" s="7">
        <v>50.333378670414533</v>
      </c>
      <c r="L139" s="5">
        <v>0.59727203845977805</v>
      </c>
      <c r="M139" s="5">
        <v>59.727203845977805</v>
      </c>
      <c r="N139" s="17">
        <v>1.8322358999999999</v>
      </c>
      <c r="O139" s="21">
        <v>3.5273661000000001</v>
      </c>
      <c r="P139" s="22">
        <v>1.9750147</v>
      </c>
      <c r="Q139" s="25">
        <f t="shared" si="8"/>
        <v>0</v>
      </c>
      <c r="R139">
        <v>0</v>
      </c>
      <c r="S139" s="24">
        <v>0</v>
      </c>
      <c r="T139">
        <f>Q139/100</f>
        <v>0</v>
      </c>
      <c r="U139">
        <f>R139/100</f>
        <v>0</v>
      </c>
      <c r="V139">
        <f>S139/100</f>
        <v>0</v>
      </c>
      <c r="W139">
        <v>0.75292000000000003</v>
      </c>
      <c r="X139">
        <v>0.41</v>
      </c>
      <c r="Y139">
        <v>0.41</v>
      </c>
      <c r="Z139" s="5">
        <f t="shared" si="6"/>
        <v>41</v>
      </c>
    </row>
    <row r="140" spans="1:26" x14ac:dyDescent="0.25">
      <c r="A140" t="s">
        <v>17</v>
      </c>
      <c r="B140">
        <v>4</v>
      </c>
      <c r="C140">
        <v>2005</v>
      </c>
      <c r="D140" s="5">
        <v>33.299999999999997</v>
      </c>
      <c r="E140" s="5">
        <v>53.4</v>
      </c>
      <c r="F140" s="5">
        <f t="shared" si="7"/>
        <v>20.100000000000001</v>
      </c>
      <c r="G140" s="7">
        <v>1.0205655499999999</v>
      </c>
      <c r="H140" s="7">
        <v>4.8242250315430102</v>
      </c>
      <c r="I140" s="8">
        <v>40674.103367999996</v>
      </c>
      <c r="J140" s="12">
        <v>2.6683379999999999</v>
      </c>
      <c r="K140" s="7">
        <v>52.538754525261091</v>
      </c>
      <c r="L140" s="5">
        <v>0.59480118751525901</v>
      </c>
      <c r="M140" s="5">
        <v>59.4801187515259</v>
      </c>
      <c r="N140" s="17">
        <v>1.8292181000000001</v>
      </c>
      <c r="O140" s="21">
        <v>3.6357729999999999</v>
      </c>
      <c r="P140" s="22">
        <v>1.9876104000000001</v>
      </c>
      <c r="Q140" s="25">
        <f t="shared" si="8"/>
        <v>0</v>
      </c>
      <c r="R140">
        <v>0</v>
      </c>
      <c r="S140" s="24">
        <v>0</v>
      </c>
      <c r="T140">
        <f>Q140/100</f>
        <v>0</v>
      </c>
      <c r="U140">
        <f>R140/100</f>
        <v>0</v>
      </c>
      <c r="V140">
        <f>S140/100</f>
        <v>0</v>
      </c>
      <c r="W140">
        <v>0.75243000000000004</v>
      </c>
      <c r="X140">
        <v>0.41</v>
      </c>
      <c r="Y140">
        <v>0.41</v>
      </c>
      <c r="Z140" s="5">
        <f t="shared" si="6"/>
        <v>41</v>
      </c>
    </row>
    <row r="141" spans="1:26" x14ac:dyDescent="0.25">
      <c r="A141" t="s">
        <v>17</v>
      </c>
      <c r="B141">
        <v>4</v>
      </c>
      <c r="C141">
        <v>2006</v>
      </c>
      <c r="D141" s="5">
        <v>33.299999999999997</v>
      </c>
      <c r="E141" s="5">
        <v>53.4</v>
      </c>
      <c r="F141" s="5">
        <f t="shared" si="7"/>
        <v>20.100000000000001</v>
      </c>
      <c r="G141" s="7">
        <v>1.0251889199999999</v>
      </c>
      <c r="H141" s="7">
        <v>5.4178838039597537</v>
      </c>
      <c r="I141" s="8">
        <v>41270.012476999997</v>
      </c>
      <c r="J141" s="12">
        <v>2.1604049999999999</v>
      </c>
      <c r="K141" s="7">
        <v>56.797866973738444</v>
      </c>
      <c r="L141" s="5">
        <v>0.600103139877319</v>
      </c>
      <c r="M141" s="5">
        <v>60.010313987731898</v>
      </c>
      <c r="N141" s="17">
        <v>1.8199813</v>
      </c>
      <c r="O141" s="21">
        <v>3.6213514</v>
      </c>
      <c r="P141" s="22">
        <v>1.9897739999999999</v>
      </c>
      <c r="Q141" s="25">
        <f t="shared" si="8"/>
        <v>0</v>
      </c>
      <c r="R141">
        <v>0</v>
      </c>
      <c r="S141" s="24">
        <v>0</v>
      </c>
      <c r="T141">
        <f>Q141/100</f>
        <v>0</v>
      </c>
      <c r="U141">
        <f>R141/100</f>
        <v>0</v>
      </c>
      <c r="V141">
        <f>S141/100</f>
        <v>0</v>
      </c>
      <c r="W141">
        <v>0.75329000000000002</v>
      </c>
      <c r="X141">
        <v>0.41</v>
      </c>
      <c r="Y141">
        <v>0.41</v>
      </c>
      <c r="Z141" s="5">
        <f t="shared" si="6"/>
        <v>41</v>
      </c>
    </row>
    <row r="142" spans="1:26" x14ac:dyDescent="0.25">
      <c r="A142" t="s">
        <v>17</v>
      </c>
      <c r="B142">
        <v>4</v>
      </c>
      <c r="C142">
        <v>2007</v>
      </c>
      <c r="D142" s="5">
        <v>32.9</v>
      </c>
      <c r="E142" s="5">
        <v>53.2</v>
      </c>
      <c r="F142" s="5">
        <f t="shared" si="7"/>
        <v>20.300000000000004</v>
      </c>
      <c r="G142" s="7">
        <v>1.02334152</v>
      </c>
      <c r="H142" s="7">
        <v>5.3290904696688957</v>
      </c>
      <c r="I142" s="8">
        <v>41988.329788000003</v>
      </c>
      <c r="J142" s="12">
        <v>2.5634610000000002</v>
      </c>
      <c r="K142" s="7">
        <v>52.834145861797708</v>
      </c>
      <c r="L142" s="5">
        <v>0.60355818271636996</v>
      </c>
      <c r="M142" s="5">
        <v>60.355818271636998</v>
      </c>
      <c r="N142" s="17">
        <v>1.8098654000000001</v>
      </c>
      <c r="O142" s="21">
        <v>3.5920231999999999</v>
      </c>
      <c r="P142" s="22">
        <v>1.9846908000000001</v>
      </c>
      <c r="Q142" s="25">
        <f t="shared" si="8"/>
        <v>0</v>
      </c>
      <c r="R142">
        <v>0</v>
      </c>
      <c r="S142" s="24">
        <v>0</v>
      </c>
      <c r="T142">
        <f>Q142/100</f>
        <v>0</v>
      </c>
      <c r="U142">
        <f>R142/100</f>
        <v>0</v>
      </c>
      <c r="V142">
        <f>S142/100</f>
        <v>0</v>
      </c>
      <c r="W142">
        <v>0.74839999999999995</v>
      </c>
      <c r="X142">
        <v>0.40100000000000002</v>
      </c>
      <c r="Y142">
        <v>0.40100000000000002</v>
      </c>
      <c r="Z142" s="5">
        <f t="shared" si="6"/>
        <v>40.1</v>
      </c>
    </row>
    <row r="143" spans="1:26" x14ac:dyDescent="0.25">
      <c r="A143" t="s">
        <v>17</v>
      </c>
      <c r="B143">
        <v>4</v>
      </c>
      <c r="C143">
        <v>2008</v>
      </c>
      <c r="D143" s="5">
        <v>32.9</v>
      </c>
      <c r="E143" s="5">
        <v>53.5</v>
      </c>
      <c r="F143" s="5">
        <f t="shared" si="7"/>
        <v>20.6</v>
      </c>
      <c r="G143" s="7">
        <v>1.0348139300000001</v>
      </c>
      <c r="H143" s="7">
        <v>5.6846578700240338</v>
      </c>
      <c r="I143" s="8">
        <v>41581.077204000001</v>
      </c>
      <c r="J143" s="12">
        <v>-0.15434400000000001</v>
      </c>
      <c r="K143" s="7">
        <v>56.405288144690942</v>
      </c>
      <c r="L143" s="5">
        <v>0.59515076875686601</v>
      </c>
      <c r="M143" s="5">
        <v>59.515076875686603</v>
      </c>
      <c r="N143" s="17">
        <v>1.8276901000000001</v>
      </c>
      <c r="O143" s="21">
        <v>3.6311450999999999</v>
      </c>
      <c r="P143" s="22">
        <v>1.98674</v>
      </c>
      <c r="Q143" s="25">
        <f t="shared" si="8"/>
        <v>0</v>
      </c>
      <c r="R143">
        <v>0</v>
      </c>
      <c r="S143" s="24">
        <v>0</v>
      </c>
      <c r="T143">
        <f>Q143/100</f>
        <v>0</v>
      </c>
      <c r="U143">
        <f>R143/100</f>
        <v>0</v>
      </c>
      <c r="V143">
        <f>S143/100</f>
        <v>0</v>
      </c>
      <c r="W143">
        <v>0.74909999999999999</v>
      </c>
      <c r="X143">
        <v>0.39800000000000002</v>
      </c>
      <c r="Y143">
        <v>0.39800000000000002</v>
      </c>
      <c r="Z143" s="5">
        <f t="shared" si="6"/>
        <v>39.800000000000004</v>
      </c>
    </row>
    <row r="144" spans="1:26" x14ac:dyDescent="0.25">
      <c r="A144" t="s">
        <v>17</v>
      </c>
      <c r="B144">
        <v>4</v>
      </c>
      <c r="C144">
        <v>2009</v>
      </c>
      <c r="D144" s="5">
        <v>32.6</v>
      </c>
      <c r="E144" s="5">
        <v>54.2</v>
      </c>
      <c r="F144" s="5">
        <f t="shared" si="7"/>
        <v>21.6</v>
      </c>
      <c r="G144" s="7">
        <v>1.0197215799999999</v>
      </c>
      <c r="H144" s="7">
        <v>7.611804317686671</v>
      </c>
      <c r="I144" s="8">
        <v>39426.881679999999</v>
      </c>
      <c r="J144" s="12">
        <v>-4.5104860000000002</v>
      </c>
      <c r="K144" s="7">
        <v>54.590490771849922</v>
      </c>
      <c r="L144" s="5">
        <v>0.60011291503906306</v>
      </c>
      <c r="M144" s="5">
        <v>60.011291503906307</v>
      </c>
      <c r="N144" s="17">
        <v>1.8077052</v>
      </c>
      <c r="O144" s="21">
        <v>3.5990248999999999</v>
      </c>
      <c r="P144" s="22">
        <v>1.9909357000000001</v>
      </c>
      <c r="Q144" s="25">
        <f t="shared" si="8"/>
        <v>0</v>
      </c>
      <c r="R144">
        <v>0</v>
      </c>
      <c r="S144" s="24">
        <v>0</v>
      </c>
      <c r="T144">
        <f>Q144/100</f>
        <v>0</v>
      </c>
      <c r="U144">
        <f>R144/100</f>
        <v>0</v>
      </c>
      <c r="V144">
        <f>S144/100</f>
        <v>0</v>
      </c>
      <c r="W144">
        <v>0.75729000000000002</v>
      </c>
      <c r="X144">
        <v>0.40300000000000002</v>
      </c>
      <c r="Y144">
        <v>0.40300000000000002</v>
      </c>
      <c r="Z144" s="5">
        <f t="shared" si="6"/>
        <v>40.300000000000004</v>
      </c>
    </row>
    <row r="145" spans="1:26" x14ac:dyDescent="0.25">
      <c r="A145" t="s">
        <v>17</v>
      </c>
      <c r="B145">
        <v>4</v>
      </c>
      <c r="C145">
        <v>2010</v>
      </c>
      <c r="D145" s="5">
        <v>32</v>
      </c>
      <c r="E145" s="5">
        <v>54.3</v>
      </c>
      <c r="F145" s="5">
        <f t="shared" si="7"/>
        <v>22.299999999999997</v>
      </c>
      <c r="G145" s="7">
        <v>1.02502844</v>
      </c>
      <c r="H145" s="7">
        <v>7.8681083125807776</v>
      </c>
      <c r="I145" s="8">
        <v>40063.885700999999</v>
      </c>
      <c r="J145" s="12">
        <v>2.4300730000000001</v>
      </c>
      <c r="K145" s="7">
        <v>58.806634412089942</v>
      </c>
      <c r="L145" s="5">
        <v>0.59928089380264304</v>
      </c>
      <c r="M145" s="5">
        <v>59.928089380264304</v>
      </c>
      <c r="N145" s="17">
        <v>1.8085789999999999</v>
      </c>
      <c r="O145" s="21">
        <v>3.5819291</v>
      </c>
      <c r="P145" s="22">
        <v>1.9805212999999999</v>
      </c>
      <c r="Q145" s="25">
        <f t="shared" si="8"/>
        <v>0.40861999999999998</v>
      </c>
      <c r="R145">
        <v>0.26288</v>
      </c>
      <c r="S145" s="24">
        <v>0.14574000000000001</v>
      </c>
      <c r="T145">
        <f>Q145/100</f>
        <v>4.0861999999999999E-3</v>
      </c>
      <c r="U145">
        <f>R145/100</f>
        <v>2.6288000000000001E-3</v>
      </c>
      <c r="V145">
        <f>S145/100</f>
        <v>1.4574000000000002E-3</v>
      </c>
      <c r="W145">
        <v>0.76099000000000006</v>
      </c>
      <c r="X145">
        <v>0.40600000000000003</v>
      </c>
      <c r="Y145">
        <v>0.40600000000000003</v>
      </c>
      <c r="Z145" s="5">
        <f t="shared" si="6"/>
        <v>40.6</v>
      </c>
    </row>
    <row r="146" spans="1:26" x14ac:dyDescent="0.25">
      <c r="A146" t="s">
        <v>17</v>
      </c>
      <c r="B146">
        <v>4</v>
      </c>
      <c r="C146">
        <v>2011</v>
      </c>
      <c r="D146" s="5">
        <v>31.5</v>
      </c>
      <c r="E146" s="5">
        <v>54</v>
      </c>
      <c r="F146" s="5">
        <f t="shared" si="7"/>
        <v>22.5</v>
      </c>
      <c r="G146" s="7">
        <v>1.03884573</v>
      </c>
      <c r="H146" s="7">
        <v>8.1077699135807304</v>
      </c>
      <c r="I146" s="8">
        <v>40155.701611999997</v>
      </c>
      <c r="J146" s="12">
        <v>1.0676110000000001</v>
      </c>
      <c r="K146" s="7">
        <v>63.157195812309851</v>
      </c>
      <c r="L146" s="5">
        <v>0.59689098596572898</v>
      </c>
      <c r="M146" s="5">
        <v>59.689098596572897</v>
      </c>
      <c r="N146" s="17">
        <v>1.8041274</v>
      </c>
      <c r="O146" s="21">
        <v>3.6151339999999998</v>
      </c>
      <c r="P146" s="22">
        <v>2.0038130000000001</v>
      </c>
      <c r="Q146" s="25">
        <f t="shared" si="8"/>
        <v>1.0418400000000001</v>
      </c>
      <c r="R146">
        <v>0.29454000000000002</v>
      </c>
      <c r="S146" s="24">
        <v>0.74729999999999996</v>
      </c>
      <c r="T146">
        <f>Q146/100</f>
        <v>1.0418400000000001E-2</v>
      </c>
      <c r="U146">
        <f>R146/100</f>
        <v>2.9454000000000004E-3</v>
      </c>
      <c r="V146">
        <f>S146/100</f>
        <v>7.4729999999999996E-3</v>
      </c>
      <c r="W146">
        <v>0.75573000000000001</v>
      </c>
      <c r="X146">
        <v>0.40500000000000003</v>
      </c>
      <c r="Y146">
        <v>0.40500000000000003</v>
      </c>
      <c r="Z146" s="5">
        <f t="shared" si="6"/>
        <v>40.5</v>
      </c>
    </row>
    <row r="147" spans="1:26" x14ac:dyDescent="0.25">
      <c r="A147" t="s">
        <v>17</v>
      </c>
      <c r="B147">
        <v>4</v>
      </c>
      <c r="C147">
        <v>2012</v>
      </c>
      <c r="D147" s="5">
        <v>31.2</v>
      </c>
      <c r="E147" s="5">
        <v>54</v>
      </c>
      <c r="F147" s="5">
        <f t="shared" si="7"/>
        <v>22.8</v>
      </c>
      <c r="G147" s="7">
        <v>1.0256410300000001</v>
      </c>
      <c r="H147" s="7">
        <v>7.9647594842548974</v>
      </c>
      <c r="I147" s="8">
        <v>40468.762818000003</v>
      </c>
      <c r="J147" s="12">
        <v>1.4484570000000001</v>
      </c>
      <c r="K147" s="7">
        <v>61.889950100423697</v>
      </c>
      <c r="L147" s="5">
        <v>0.59128981828689597</v>
      </c>
      <c r="M147" s="5">
        <v>59.128981828689597</v>
      </c>
      <c r="N147" s="17">
        <v>1.7940446999999999</v>
      </c>
      <c r="O147" s="21">
        <v>3.5515775000000001</v>
      </c>
      <c r="P147" s="22">
        <v>1.9796483</v>
      </c>
      <c r="Q147" s="25">
        <f t="shared" si="8"/>
        <v>0.8231799999999998</v>
      </c>
      <c r="R147">
        <v>0.51387999999999989</v>
      </c>
      <c r="S147" s="24">
        <v>0.30929999999999996</v>
      </c>
      <c r="T147">
        <f>Q147/100</f>
        <v>8.2317999999999975E-3</v>
      </c>
      <c r="U147">
        <f>R147/100</f>
        <v>5.1387999999999989E-3</v>
      </c>
      <c r="V147">
        <f>S147/100</f>
        <v>3.0929999999999998E-3</v>
      </c>
      <c r="W147">
        <v>0.75992999999999999</v>
      </c>
      <c r="X147">
        <v>0.40500000000000003</v>
      </c>
      <c r="Y147">
        <v>0.40500000000000003</v>
      </c>
      <c r="Z147" s="5">
        <f t="shared" si="6"/>
        <v>40.5</v>
      </c>
    </row>
    <row r="148" spans="1:26" x14ac:dyDescent="0.25">
      <c r="A148" t="s">
        <v>17</v>
      </c>
      <c r="B148">
        <v>4</v>
      </c>
      <c r="C148">
        <v>2013</v>
      </c>
      <c r="D148" s="5">
        <v>30.8</v>
      </c>
      <c r="E148" s="5">
        <v>53.6</v>
      </c>
      <c r="F148" s="5">
        <f t="shared" si="7"/>
        <v>22.8</v>
      </c>
      <c r="G148" s="7">
        <v>1.0229166700000001</v>
      </c>
      <c r="H148" s="7">
        <v>7.6022267673427955</v>
      </c>
      <c r="I148" s="8">
        <v>40947.489329999997</v>
      </c>
      <c r="J148" s="12">
        <v>1.819863</v>
      </c>
      <c r="K148" s="7">
        <v>61.655527476917413</v>
      </c>
      <c r="L148" s="5">
        <v>0.59552931785583496</v>
      </c>
      <c r="M148" s="5">
        <v>59.552931785583496</v>
      </c>
      <c r="N148" s="17">
        <v>1.8</v>
      </c>
      <c r="O148" s="21">
        <v>3.5471303999999999</v>
      </c>
      <c r="P148" s="22">
        <v>1.970628</v>
      </c>
      <c r="Q148" s="25">
        <f t="shared" si="8"/>
        <v>1.0590299999999999</v>
      </c>
      <c r="R148">
        <v>0.79427000000000003</v>
      </c>
      <c r="S148" s="24">
        <v>0.26475999999999994</v>
      </c>
      <c r="T148">
        <f>Q148/100</f>
        <v>1.0590299999999999E-2</v>
      </c>
      <c r="U148">
        <f>R148/100</f>
        <v>7.9427000000000005E-3</v>
      </c>
      <c r="V148">
        <f>S148/100</f>
        <v>2.6475999999999995E-3</v>
      </c>
      <c r="W148">
        <v>0.75602000000000003</v>
      </c>
      <c r="X148">
        <v>0.4</v>
      </c>
      <c r="Y148">
        <v>0.4</v>
      </c>
      <c r="Z148" s="5">
        <f t="shared" si="6"/>
        <v>40</v>
      </c>
    </row>
    <row r="149" spans="1:26" x14ac:dyDescent="0.25">
      <c r="A149" t="s">
        <v>17</v>
      </c>
      <c r="B149">
        <v>4</v>
      </c>
      <c r="C149">
        <v>2014</v>
      </c>
      <c r="D149" s="5">
        <v>31.2</v>
      </c>
      <c r="E149" s="5">
        <v>53.5</v>
      </c>
      <c r="F149" s="5">
        <f t="shared" si="7"/>
        <v>22.3</v>
      </c>
      <c r="G149" s="7">
        <v>1.0142566200000001</v>
      </c>
      <c r="H149" s="7">
        <v>6.1773028548764772</v>
      </c>
      <c r="I149" s="8">
        <v>41936.487720999998</v>
      </c>
      <c r="J149" s="12">
        <v>3.199703</v>
      </c>
      <c r="K149" s="7">
        <v>58.857317399844433</v>
      </c>
      <c r="L149" s="5">
        <v>0.58495962619781505</v>
      </c>
      <c r="M149" s="5">
        <v>58.495962619781508</v>
      </c>
      <c r="N149" s="17">
        <v>1.8002779</v>
      </c>
      <c r="O149" s="21">
        <v>3.5613060000000001</v>
      </c>
      <c r="P149" s="22">
        <v>1.9781979999999999</v>
      </c>
      <c r="Q149" s="25">
        <f t="shared" si="8"/>
        <v>0.94262999999999997</v>
      </c>
      <c r="R149">
        <v>0.66096999999999995</v>
      </c>
      <c r="S149" s="24">
        <v>0.28166000000000002</v>
      </c>
      <c r="T149">
        <f>Q149/100</f>
        <v>9.4263000000000003E-3</v>
      </c>
      <c r="U149">
        <f>R149/100</f>
        <v>6.6096999999999996E-3</v>
      </c>
      <c r="V149">
        <f>S149/100</f>
        <v>2.8166000000000003E-3</v>
      </c>
      <c r="W149">
        <v>0.75453999999999999</v>
      </c>
      <c r="X149">
        <v>0.40400000000000003</v>
      </c>
      <c r="Y149">
        <v>0.40400000000000003</v>
      </c>
      <c r="Z149" s="5">
        <f t="shared" si="6"/>
        <v>40.400000000000006</v>
      </c>
    </row>
    <row r="150" spans="1:26" x14ac:dyDescent="0.25">
      <c r="A150" t="s">
        <v>18</v>
      </c>
      <c r="B150">
        <v>5</v>
      </c>
      <c r="C150">
        <v>1978</v>
      </c>
      <c r="D150" s="5">
        <v>31.1</v>
      </c>
      <c r="E150" s="5">
        <v>42.7</v>
      </c>
      <c r="F150" s="5">
        <f t="shared" si="7"/>
        <v>11.600000000000001</v>
      </c>
      <c r="G150" s="7">
        <v>1.0763096400000001</v>
      </c>
      <c r="H150" s="7">
        <v>6.0658623077284179</v>
      </c>
      <c r="I150" s="8">
        <v>30908.510402</v>
      </c>
      <c r="J150" s="13">
        <v>5.5353050000000001</v>
      </c>
      <c r="K150" s="7">
        <v>16.972834228965059</v>
      </c>
      <c r="L150" s="5">
        <v>0.622295022010803</v>
      </c>
      <c r="M150" s="5">
        <v>62.229502201080301</v>
      </c>
      <c r="N150" s="17">
        <v>1.9544281999999999</v>
      </c>
      <c r="O150" s="21">
        <v>3.8048150999999999</v>
      </c>
      <c r="P150" s="22">
        <v>1.9467664</v>
      </c>
      <c r="Q150" s="25">
        <f t="shared" si="8"/>
        <v>0.12305864380887718</v>
      </c>
      <c r="R150">
        <v>0</v>
      </c>
      <c r="S150" s="24">
        <v>0.12305864380887718</v>
      </c>
      <c r="T150">
        <f>Q150/100</f>
        <v>1.2305864380887717E-3</v>
      </c>
      <c r="U150">
        <f>R150/100</f>
        <v>0</v>
      </c>
      <c r="V150">
        <f>S150/100</f>
        <v>1.2305864380887717E-3</v>
      </c>
      <c r="W150">
        <v>0.74331999999999998</v>
      </c>
      <c r="X150">
        <v>0.45800000000000002</v>
      </c>
      <c r="Y150">
        <v>0.45800000000000002</v>
      </c>
      <c r="Z150" s="5">
        <f t="shared" si="6"/>
        <v>45.800000000000004</v>
      </c>
    </row>
    <row r="151" spans="1:26" x14ac:dyDescent="0.25">
      <c r="A151" t="s">
        <v>18</v>
      </c>
      <c r="B151">
        <v>5</v>
      </c>
      <c r="C151">
        <v>1979</v>
      </c>
      <c r="D151" s="5">
        <v>31.2</v>
      </c>
      <c r="E151" s="5">
        <v>42.9</v>
      </c>
      <c r="F151" s="5">
        <f t="shared" si="7"/>
        <v>11.7</v>
      </c>
      <c r="G151" s="7">
        <v>1.1125446999999999</v>
      </c>
      <c r="H151" s="7">
        <v>5.8475656868694852</v>
      </c>
      <c r="I151" s="8">
        <v>31536.242306</v>
      </c>
      <c r="J151" s="13">
        <v>3.1661450000000002</v>
      </c>
      <c r="K151" s="7">
        <v>18.376163204283582</v>
      </c>
      <c r="L151" s="5">
        <v>0.62261962890625</v>
      </c>
      <c r="M151" s="5">
        <v>62.261962890625</v>
      </c>
      <c r="N151" s="17">
        <v>1.9413164000000001</v>
      </c>
      <c r="O151" s="21">
        <v>3.7795399999999999</v>
      </c>
      <c r="P151" s="22">
        <v>1.9468954000000001</v>
      </c>
      <c r="Q151" s="25">
        <f t="shared" si="8"/>
        <v>0</v>
      </c>
      <c r="R151">
        <v>0</v>
      </c>
      <c r="S151" s="24">
        <v>0</v>
      </c>
      <c r="T151">
        <f>Q151/100</f>
        <v>0</v>
      </c>
      <c r="U151">
        <f>R151/100</f>
        <v>0</v>
      </c>
      <c r="V151">
        <f>S151/100</f>
        <v>0</v>
      </c>
      <c r="W151">
        <v>0.73990999999999996</v>
      </c>
      <c r="X151">
        <v>0.45700000000000002</v>
      </c>
      <c r="Y151">
        <v>0.45700000000000002</v>
      </c>
      <c r="Z151" s="5">
        <f t="shared" si="6"/>
        <v>45.7</v>
      </c>
    </row>
    <row r="152" spans="1:26" x14ac:dyDescent="0.25">
      <c r="A152" t="s">
        <v>18</v>
      </c>
      <c r="B152">
        <v>5</v>
      </c>
      <c r="C152">
        <v>1980</v>
      </c>
      <c r="D152" s="5">
        <v>31.2</v>
      </c>
      <c r="E152" s="5">
        <v>43.4</v>
      </c>
      <c r="F152" s="5">
        <f t="shared" si="7"/>
        <v>12.2</v>
      </c>
      <c r="G152" s="7">
        <v>1.1354919999999999</v>
      </c>
      <c r="H152" s="7">
        <v>7.1414786636967706</v>
      </c>
      <c r="I152" s="8">
        <v>31093.378483</v>
      </c>
      <c r="J152" s="13">
        <v>-0.25674999999999998</v>
      </c>
      <c r="K152" s="7">
        <v>20.109844689422594</v>
      </c>
      <c r="L152" s="5">
        <v>0.62434887886047397</v>
      </c>
      <c r="M152" s="5">
        <v>62.434887886047399</v>
      </c>
      <c r="N152" s="17">
        <v>1.9489050999999999</v>
      </c>
      <c r="O152" s="21">
        <v>3.8299270000000001</v>
      </c>
      <c r="P152" s="22">
        <v>1.9651685000000001</v>
      </c>
      <c r="Q152" s="25">
        <f t="shared" si="8"/>
        <v>7.2137825681065929E-2</v>
      </c>
      <c r="R152">
        <v>0</v>
      </c>
      <c r="S152" s="24">
        <v>7.2137825681065929E-2</v>
      </c>
      <c r="T152">
        <f>Q152/100</f>
        <v>7.2137825681065928E-4</v>
      </c>
      <c r="U152">
        <f>R152/100</f>
        <v>0</v>
      </c>
      <c r="V152">
        <f>S152/100</f>
        <v>7.2137825681065928E-4</v>
      </c>
      <c r="W152">
        <v>0.74009000000000003</v>
      </c>
      <c r="X152">
        <v>0.45600000000000002</v>
      </c>
      <c r="Y152">
        <v>0.45600000000000002</v>
      </c>
      <c r="Z152" s="5">
        <f t="shared" si="6"/>
        <v>45.6</v>
      </c>
    </row>
    <row r="153" spans="1:26" x14ac:dyDescent="0.25">
      <c r="A153" t="s">
        <v>18</v>
      </c>
      <c r="B153">
        <v>5</v>
      </c>
      <c r="C153">
        <v>1981</v>
      </c>
      <c r="D153" s="5">
        <v>31.7</v>
      </c>
      <c r="E153" s="5">
        <v>44</v>
      </c>
      <c r="F153" s="5">
        <f t="shared" si="7"/>
        <v>12.3</v>
      </c>
      <c r="G153" s="7">
        <v>1.1033470999999999</v>
      </c>
      <c r="H153" s="7">
        <v>7.6127959760780559</v>
      </c>
      <c r="I153" s="8">
        <v>31566.122887000001</v>
      </c>
      <c r="J153" s="13">
        <v>2.5377190000000001</v>
      </c>
      <c r="K153" s="7">
        <v>19.425913170427194</v>
      </c>
      <c r="L153" s="5">
        <v>0.61421602964401201</v>
      </c>
      <c r="M153" s="5">
        <v>61.421602964401202</v>
      </c>
      <c r="N153" s="17">
        <v>1.9191518000000001</v>
      </c>
      <c r="O153" s="21">
        <v>3.7740225000000001</v>
      </c>
      <c r="P153" s="22">
        <v>1.9665055</v>
      </c>
      <c r="Q153" s="25">
        <f t="shared" si="8"/>
        <v>0.41894531380797845</v>
      </c>
      <c r="R153">
        <v>0</v>
      </c>
      <c r="S153" s="24">
        <v>0.41894531380797845</v>
      </c>
      <c r="T153">
        <f>Q153/100</f>
        <v>4.1894531380797847E-3</v>
      </c>
      <c r="U153">
        <f>R153/100</f>
        <v>0</v>
      </c>
      <c r="V153">
        <f>S153/100</f>
        <v>4.1894531380797847E-3</v>
      </c>
      <c r="W153">
        <v>0.74195</v>
      </c>
      <c r="X153">
        <v>0.45800000000000002</v>
      </c>
      <c r="Y153">
        <v>0.45800000000000002</v>
      </c>
      <c r="Z153" s="5">
        <f t="shared" si="6"/>
        <v>45.800000000000004</v>
      </c>
    </row>
    <row r="154" spans="1:26" x14ac:dyDescent="0.25">
      <c r="A154" t="s">
        <v>18</v>
      </c>
      <c r="B154">
        <v>5</v>
      </c>
      <c r="C154">
        <v>1982</v>
      </c>
      <c r="D154" s="5">
        <v>32.9</v>
      </c>
      <c r="E154" s="5">
        <v>45</v>
      </c>
      <c r="F154" s="5">
        <f t="shared" si="7"/>
        <v>12.100000000000001</v>
      </c>
      <c r="G154" s="7">
        <v>1.06131427</v>
      </c>
      <c r="H154" s="7">
        <v>9.6894137716699404</v>
      </c>
      <c r="I154" s="8">
        <v>30702.025078999999</v>
      </c>
      <c r="J154" s="13">
        <v>-1.8028869999999999</v>
      </c>
      <c r="K154" s="7">
        <v>17.536812280918443</v>
      </c>
      <c r="L154" s="5">
        <v>0.61674332618713401</v>
      </c>
      <c r="M154" s="5">
        <v>61.6743326187134</v>
      </c>
      <c r="N154" s="17">
        <v>1.9613924</v>
      </c>
      <c r="O154" s="21">
        <v>3.8449366999999999</v>
      </c>
      <c r="P154" s="22">
        <v>1.9603098000000001</v>
      </c>
      <c r="Q154" s="25">
        <f t="shared" si="8"/>
        <v>0</v>
      </c>
      <c r="R154">
        <v>0</v>
      </c>
      <c r="S154" s="24">
        <v>0</v>
      </c>
      <c r="T154">
        <f>Q154/100</f>
        <v>0</v>
      </c>
      <c r="U154">
        <f>R154/100</f>
        <v>0</v>
      </c>
      <c r="V154">
        <f>S154/100</f>
        <v>0</v>
      </c>
      <c r="W154">
        <v>0.74848000000000003</v>
      </c>
      <c r="X154">
        <v>0.46400000000000002</v>
      </c>
      <c r="Y154">
        <v>0.46400000000000002</v>
      </c>
      <c r="Z154" s="5">
        <f t="shared" si="6"/>
        <v>46.400000000000006</v>
      </c>
    </row>
    <row r="155" spans="1:26" x14ac:dyDescent="0.25">
      <c r="A155" t="s">
        <v>18</v>
      </c>
      <c r="B155">
        <v>5</v>
      </c>
      <c r="C155">
        <v>1983</v>
      </c>
      <c r="D155" s="5">
        <v>33.6</v>
      </c>
      <c r="E155" s="5">
        <v>45.5</v>
      </c>
      <c r="F155" s="5">
        <f t="shared" si="7"/>
        <v>11.899999999999999</v>
      </c>
      <c r="G155" s="7">
        <v>1.0321243499999999</v>
      </c>
      <c r="H155" s="7">
        <v>9.60702929530445</v>
      </c>
      <c r="I155" s="8">
        <v>31819.572334</v>
      </c>
      <c r="J155" s="13">
        <v>4.5839129999999999</v>
      </c>
      <c r="K155" s="7">
        <v>16.665593480310331</v>
      </c>
      <c r="L155" s="5">
        <v>0.60385227203369096</v>
      </c>
      <c r="M155" s="5">
        <v>60.385227203369098</v>
      </c>
      <c r="N155" s="17">
        <v>1.9846154</v>
      </c>
      <c r="O155" s="21">
        <v>4.0092308000000001</v>
      </c>
      <c r="P155" s="22">
        <v>2.0201549999999999</v>
      </c>
      <c r="Q155" s="25">
        <f t="shared" si="8"/>
        <v>0</v>
      </c>
      <c r="R155">
        <v>0</v>
      </c>
      <c r="S155" s="24">
        <v>0</v>
      </c>
      <c r="T155">
        <f>Q155/100</f>
        <v>0</v>
      </c>
      <c r="U155">
        <f>R155/100</f>
        <v>0</v>
      </c>
      <c r="V155">
        <f>S155/100</f>
        <v>0</v>
      </c>
      <c r="W155">
        <v>0.74692999999999998</v>
      </c>
      <c r="X155">
        <v>0.46200000000000002</v>
      </c>
      <c r="Y155">
        <v>0.46200000000000002</v>
      </c>
      <c r="Z155" s="5">
        <f t="shared" si="6"/>
        <v>46.2</v>
      </c>
    </row>
    <row r="156" spans="1:26" x14ac:dyDescent="0.25">
      <c r="A156" t="s">
        <v>18</v>
      </c>
      <c r="B156">
        <v>5</v>
      </c>
      <c r="C156">
        <v>1984</v>
      </c>
      <c r="D156" s="5">
        <v>33.799999999999997</v>
      </c>
      <c r="E156" s="5">
        <v>45.2</v>
      </c>
      <c r="F156" s="5">
        <f t="shared" si="7"/>
        <v>11.400000000000006</v>
      </c>
      <c r="G156" s="7">
        <v>1.04300536</v>
      </c>
      <c r="H156" s="7">
        <v>7.5200719721623095</v>
      </c>
      <c r="I156" s="8">
        <v>33824.743481999998</v>
      </c>
      <c r="J156" s="13">
        <v>7.2366330000000003</v>
      </c>
      <c r="K156" s="7">
        <v>17.522407422405266</v>
      </c>
      <c r="L156" s="5">
        <v>0.60195177793502797</v>
      </c>
      <c r="M156" s="5">
        <v>60.195177793502793</v>
      </c>
      <c r="N156" s="17">
        <v>1.9982175</v>
      </c>
      <c r="O156" s="21">
        <v>4.0968508999999997</v>
      </c>
      <c r="P156" s="22">
        <v>2.0502528</v>
      </c>
      <c r="Q156" s="25">
        <f t="shared" si="8"/>
        <v>0</v>
      </c>
      <c r="R156">
        <v>0</v>
      </c>
      <c r="S156" s="24">
        <v>0</v>
      </c>
      <c r="T156">
        <f>Q156/100</f>
        <v>0</v>
      </c>
      <c r="U156">
        <f>R156/100</f>
        <v>0</v>
      </c>
      <c r="V156">
        <f>S156/100</f>
        <v>0</v>
      </c>
      <c r="W156">
        <v>0.74160000000000004</v>
      </c>
      <c r="X156">
        <v>0.46200000000000002</v>
      </c>
      <c r="Y156">
        <v>0.46200000000000002</v>
      </c>
      <c r="Z156" s="5">
        <f t="shared" si="6"/>
        <v>46.2</v>
      </c>
    </row>
    <row r="157" spans="1:26" x14ac:dyDescent="0.25">
      <c r="A157" t="s">
        <v>18</v>
      </c>
      <c r="B157">
        <v>5</v>
      </c>
      <c r="C157">
        <v>1985</v>
      </c>
      <c r="D157" s="5">
        <v>34.1</v>
      </c>
      <c r="E157" s="5">
        <v>45.6</v>
      </c>
      <c r="F157" s="5">
        <f t="shared" si="7"/>
        <v>11.5</v>
      </c>
      <c r="G157" s="7">
        <v>1.0354564399999999</v>
      </c>
      <c r="H157" s="7">
        <v>7.1985158663552209</v>
      </c>
      <c r="I157" s="8">
        <v>34923.107685000003</v>
      </c>
      <c r="J157" s="13">
        <v>4.1696559999999998</v>
      </c>
      <c r="K157" s="7">
        <v>16.603906126302988</v>
      </c>
      <c r="L157" s="5">
        <v>0.60230153799056996</v>
      </c>
      <c r="M157" s="5">
        <v>60.230153799056993</v>
      </c>
      <c r="N157" s="17">
        <v>2.0149683</v>
      </c>
      <c r="O157" s="21">
        <v>4.1329878999999998</v>
      </c>
      <c r="P157" s="22">
        <v>2.0511428999999999</v>
      </c>
      <c r="Q157" s="25">
        <f t="shared" si="8"/>
        <v>0.19133</v>
      </c>
      <c r="R157">
        <v>0</v>
      </c>
      <c r="S157" s="24">
        <v>0.19133</v>
      </c>
      <c r="T157">
        <f>Q157/100</f>
        <v>1.9132999999999999E-3</v>
      </c>
      <c r="U157">
        <f>R157/100</f>
        <v>0</v>
      </c>
      <c r="V157">
        <f>S157/100</f>
        <v>1.9132999999999999E-3</v>
      </c>
      <c r="W157">
        <v>0.74029999999999996</v>
      </c>
      <c r="X157">
        <v>0.46600000000000003</v>
      </c>
      <c r="Y157">
        <v>0.46600000000000003</v>
      </c>
      <c r="Z157" s="5">
        <f t="shared" si="6"/>
        <v>46.6</v>
      </c>
    </row>
    <row r="158" spans="1:26" x14ac:dyDescent="0.25">
      <c r="A158" t="s">
        <v>18</v>
      </c>
      <c r="B158">
        <v>5</v>
      </c>
      <c r="C158">
        <v>1986</v>
      </c>
      <c r="D158" s="5">
        <v>34.200000000000003</v>
      </c>
      <c r="E158" s="5">
        <v>45.9</v>
      </c>
      <c r="F158" s="5">
        <f t="shared" si="7"/>
        <v>11.699999999999996</v>
      </c>
      <c r="G158" s="7">
        <v>1.01898048</v>
      </c>
      <c r="H158" s="7">
        <v>6.9903126843157137</v>
      </c>
      <c r="I158" s="8">
        <v>35805.550625999997</v>
      </c>
      <c r="J158" s="13">
        <v>3.4626459999999999</v>
      </c>
      <c r="K158" s="7">
        <v>16.897977151434254</v>
      </c>
      <c r="L158" s="5">
        <v>0.60773700475692705</v>
      </c>
      <c r="M158" s="5">
        <v>60.773700475692706</v>
      </c>
      <c r="N158" s="17">
        <v>2.0389971999999998</v>
      </c>
      <c r="O158" s="21">
        <v>4.1364903000000002</v>
      </c>
      <c r="P158" s="22">
        <v>2.0286884999999999</v>
      </c>
      <c r="Q158" s="25">
        <f t="shared" si="8"/>
        <v>0.11061</v>
      </c>
      <c r="R158">
        <v>0</v>
      </c>
      <c r="S158" s="24">
        <v>0.11061</v>
      </c>
      <c r="T158">
        <f>Q158/100</f>
        <v>1.1061000000000001E-3</v>
      </c>
      <c r="U158">
        <f>R158/100</f>
        <v>0</v>
      </c>
      <c r="V158">
        <f>S158/100</f>
        <v>1.1061000000000001E-3</v>
      </c>
      <c r="W158">
        <v>0.73924000000000001</v>
      </c>
      <c r="X158">
        <v>0.46800000000000003</v>
      </c>
      <c r="Y158">
        <v>0.46800000000000003</v>
      </c>
      <c r="Z158" s="5">
        <f t="shared" si="6"/>
        <v>46.800000000000004</v>
      </c>
    </row>
    <row r="159" spans="1:26" x14ac:dyDescent="0.25">
      <c r="A159" t="s">
        <v>18</v>
      </c>
      <c r="B159">
        <v>5</v>
      </c>
      <c r="C159">
        <v>1987</v>
      </c>
      <c r="D159" s="5">
        <v>34</v>
      </c>
      <c r="E159" s="5">
        <v>46.1</v>
      </c>
      <c r="F159" s="5">
        <f t="shared" si="7"/>
        <v>12.100000000000001</v>
      </c>
      <c r="G159" s="7">
        <v>1.03664563</v>
      </c>
      <c r="H159" s="7">
        <v>6.1942498740251555</v>
      </c>
      <c r="I159" s="8">
        <v>36714.660585999998</v>
      </c>
      <c r="J159" s="13">
        <v>3.4592520000000002</v>
      </c>
      <c r="K159" s="7">
        <v>17.973580984570201</v>
      </c>
      <c r="L159" s="5">
        <v>0.61597257852554299</v>
      </c>
      <c r="M159" s="5">
        <v>61.5972578525543</v>
      </c>
      <c r="N159" s="17">
        <v>2.0406417000000001</v>
      </c>
      <c r="O159" s="21">
        <v>4.2363635999999998</v>
      </c>
      <c r="P159" s="22">
        <v>2.0759957999999998</v>
      </c>
      <c r="Q159" s="25">
        <f t="shared" si="8"/>
        <v>0</v>
      </c>
      <c r="R159">
        <v>0</v>
      </c>
      <c r="S159" s="24">
        <v>0</v>
      </c>
      <c r="T159">
        <f>Q159/100</f>
        <v>0</v>
      </c>
      <c r="U159">
        <f>R159/100</f>
        <v>0</v>
      </c>
      <c r="V159">
        <f>S159/100</f>
        <v>0</v>
      </c>
      <c r="W159">
        <v>0.73577000000000004</v>
      </c>
      <c r="X159">
        <v>0.46400000000000002</v>
      </c>
      <c r="Y159">
        <v>0.46400000000000002</v>
      </c>
      <c r="Z159" s="5">
        <f t="shared" si="6"/>
        <v>46.400000000000006</v>
      </c>
    </row>
    <row r="160" spans="1:26" x14ac:dyDescent="0.25">
      <c r="A160" t="s">
        <v>18</v>
      </c>
      <c r="B160">
        <v>5</v>
      </c>
      <c r="C160">
        <v>1988</v>
      </c>
      <c r="D160" s="5">
        <v>34.4</v>
      </c>
      <c r="E160" s="5">
        <v>46.3</v>
      </c>
      <c r="F160" s="5">
        <f t="shared" si="7"/>
        <v>11.899999999999999</v>
      </c>
      <c r="G160" s="7">
        <v>1.04077741</v>
      </c>
      <c r="H160" s="7">
        <v>5.5070954920242503</v>
      </c>
      <c r="I160" s="8">
        <v>37902.076864000002</v>
      </c>
      <c r="J160" s="13">
        <v>4.1770610000000001</v>
      </c>
      <c r="K160" s="7">
        <v>19.070100705861503</v>
      </c>
      <c r="L160" s="5">
        <v>0.62066638469696001</v>
      </c>
      <c r="M160" s="5">
        <v>62.066638469696002</v>
      </c>
      <c r="N160" s="17">
        <v>2.0370751999999999</v>
      </c>
      <c r="O160" s="21">
        <v>4.3238928999999997</v>
      </c>
      <c r="P160" s="22">
        <v>2.1225985999999999</v>
      </c>
      <c r="Q160" s="25">
        <f t="shared" si="8"/>
        <v>0.79387000000000008</v>
      </c>
      <c r="R160">
        <v>0.27309</v>
      </c>
      <c r="S160" s="24">
        <v>0.52078000000000002</v>
      </c>
      <c r="T160">
        <f>Q160/100</f>
        <v>7.9386999999999999E-3</v>
      </c>
      <c r="U160">
        <f>R160/100</f>
        <v>2.7309000000000001E-3</v>
      </c>
      <c r="V160">
        <f>S160/100</f>
        <v>5.2078000000000003E-3</v>
      </c>
      <c r="W160">
        <v>0.73302999999999996</v>
      </c>
      <c r="X160">
        <v>0.46300000000000002</v>
      </c>
      <c r="Y160">
        <v>0.46300000000000002</v>
      </c>
      <c r="Z160" s="5">
        <f t="shared" si="6"/>
        <v>46.300000000000004</v>
      </c>
    </row>
    <row r="161" spans="1:26" x14ac:dyDescent="0.25">
      <c r="A161" t="s">
        <v>18</v>
      </c>
      <c r="B161">
        <v>5</v>
      </c>
      <c r="C161">
        <v>1989</v>
      </c>
      <c r="D161" s="5">
        <v>34.700000000000003</v>
      </c>
      <c r="E161" s="5">
        <v>46.5</v>
      </c>
      <c r="F161" s="5">
        <f t="shared" si="7"/>
        <v>11.799999999999997</v>
      </c>
      <c r="G161" s="7">
        <v>1.0482700300000001</v>
      </c>
      <c r="H161" s="7">
        <v>5.264598562247822</v>
      </c>
      <c r="I161" s="8">
        <v>38924.633076999999</v>
      </c>
      <c r="J161" s="13">
        <v>3.6726480000000001</v>
      </c>
      <c r="K161" s="7">
        <v>19.415128386019521</v>
      </c>
      <c r="L161" s="5">
        <v>0.61185866594314597</v>
      </c>
      <c r="M161" s="5">
        <v>61.185866594314597</v>
      </c>
      <c r="N161" s="17">
        <v>2.0290783999999999</v>
      </c>
      <c r="O161" s="21">
        <v>4.3178906000000001</v>
      </c>
      <c r="P161" s="22">
        <v>2.1280057999999999</v>
      </c>
      <c r="Q161" s="25">
        <f t="shared" si="8"/>
        <v>0</v>
      </c>
      <c r="R161">
        <v>0</v>
      </c>
      <c r="S161" s="24">
        <v>0</v>
      </c>
      <c r="T161">
        <f>Q161/100</f>
        <v>0</v>
      </c>
      <c r="U161">
        <f>R161/100</f>
        <v>0</v>
      </c>
      <c r="V161">
        <f>S161/100</f>
        <v>0</v>
      </c>
      <c r="W161">
        <v>0.73426000000000002</v>
      </c>
      <c r="X161">
        <v>0.46600000000000003</v>
      </c>
      <c r="Y161">
        <v>0.46600000000000003</v>
      </c>
      <c r="Z161" s="5">
        <f t="shared" si="6"/>
        <v>46.6</v>
      </c>
    </row>
    <row r="162" spans="1:26" x14ac:dyDescent="0.25">
      <c r="A162" t="s">
        <v>18</v>
      </c>
      <c r="B162">
        <v>5</v>
      </c>
      <c r="C162">
        <v>1990</v>
      </c>
      <c r="D162" s="5">
        <v>34.6</v>
      </c>
      <c r="E162" s="5">
        <v>46.6</v>
      </c>
      <c r="F162" s="5">
        <f t="shared" si="7"/>
        <v>12</v>
      </c>
      <c r="G162" s="7">
        <v>1.0539795599999999</v>
      </c>
      <c r="H162" s="7">
        <v>5.5996457400599802</v>
      </c>
      <c r="I162" s="8">
        <v>39215.832623000002</v>
      </c>
      <c r="J162" s="13">
        <v>1.8859649999999999</v>
      </c>
      <c r="K162" s="7">
        <v>19.815050584054315</v>
      </c>
      <c r="L162" s="5">
        <v>0.61519789695739702</v>
      </c>
      <c r="M162" s="5">
        <v>61.519789695739703</v>
      </c>
      <c r="N162" s="17">
        <v>2.0345154000000001</v>
      </c>
      <c r="O162" s="21">
        <v>4.3427895999999997</v>
      </c>
      <c r="P162" s="22">
        <v>2.1345573</v>
      </c>
      <c r="Q162" s="25">
        <f t="shared" si="8"/>
        <v>0.30049000000000003</v>
      </c>
      <c r="R162">
        <v>7.424E-2</v>
      </c>
      <c r="S162" s="24">
        <v>0.22625000000000001</v>
      </c>
      <c r="T162">
        <f>Q162/100</f>
        <v>3.0049000000000005E-3</v>
      </c>
      <c r="U162">
        <f>R162/100</f>
        <v>7.4240000000000005E-4</v>
      </c>
      <c r="V162">
        <f>S162/100</f>
        <v>2.2625000000000002E-3</v>
      </c>
      <c r="W162">
        <v>0.73324999999999996</v>
      </c>
      <c r="X162">
        <v>0.45900000000000002</v>
      </c>
      <c r="Y162">
        <v>0.45900000000000002</v>
      </c>
      <c r="Z162" s="5">
        <f t="shared" si="6"/>
        <v>45.9</v>
      </c>
    </row>
    <row r="163" spans="1:26" x14ac:dyDescent="0.25">
      <c r="A163" t="s">
        <v>18</v>
      </c>
      <c r="B163">
        <v>5</v>
      </c>
      <c r="C163">
        <v>1991</v>
      </c>
      <c r="D163" s="5">
        <v>34.6</v>
      </c>
      <c r="E163" s="5">
        <v>47.1</v>
      </c>
      <c r="F163" s="5">
        <f t="shared" si="7"/>
        <v>12.5</v>
      </c>
      <c r="G163" s="7">
        <v>1.0423496400000001</v>
      </c>
      <c r="H163" s="7">
        <v>6.8289827244644279</v>
      </c>
      <c r="I163" s="8">
        <v>38655.915678999998</v>
      </c>
      <c r="J163" s="13">
        <v>-0.108265</v>
      </c>
      <c r="K163" s="7">
        <v>19.786448124097433</v>
      </c>
      <c r="L163" s="5">
        <v>0.61509883403778098</v>
      </c>
      <c r="M163" s="5">
        <v>61.509883403778097</v>
      </c>
      <c r="N163" s="17">
        <v>2.0364298999999999</v>
      </c>
      <c r="O163" s="21">
        <v>4.3337887000000004</v>
      </c>
      <c r="P163" s="22">
        <v>2.1281306</v>
      </c>
      <c r="Q163" s="25">
        <f t="shared" si="8"/>
        <v>0.60450000000000004</v>
      </c>
      <c r="R163">
        <v>0.30402000000000001</v>
      </c>
      <c r="S163" s="24">
        <v>0.30047999999999997</v>
      </c>
      <c r="T163">
        <f>Q163/100</f>
        <v>6.045E-3</v>
      </c>
      <c r="U163">
        <f>R163/100</f>
        <v>3.0402000000000003E-3</v>
      </c>
      <c r="V163">
        <f>S163/100</f>
        <v>3.0047999999999997E-3</v>
      </c>
      <c r="W163">
        <v>0.73492999999999997</v>
      </c>
      <c r="X163">
        <v>0.45700000000000002</v>
      </c>
      <c r="Y163">
        <v>0.45700000000000002</v>
      </c>
      <c r="Z163" s="5">
        <f t="shared" si="6"/>
        <v>45.7</v>
      </c>
    </row>
    <row r="164" spans="1:26" x14ac:dyDescent="0.25">
      <c r="A164" t="s">
        <v>18</v>
      </c>
      <c r="B164">
        <v>5</v>
      </c>
      <c r="C164">
        <v>1992</v>
      </c>
      <c r="D164" s="5">
        <v>35.200000000000003</v>
      </c>
      <c r="E164" s="5">
        <v>47.9</v>
      </c>
      <c r="F164" s="5">
        <f t="shared" si="7"/>
        <v>12.699999999999996</v>
      </c>
      <c r="G164" s="7">
        <v>1.0302882</v>
      </c>
      <c r="H164" s="7">
        <v>7.5038644050861354</v>
      </c>
      <c r="I164" s="8">
        <v>39489.217629999999</v>
      </c>
      <c r="J164" s="13">
        <v>3.5224410000000002</v>
      </c>
      <c r="K164" s="7">
        <v>19.950594502392288</v>
      </c>
      <c r="L164" s="5">
        <v>0.62004846334457397</v>
      </c>
      <c r="M164" s="5">
        <v>62.004846334457397</v>
      </c>
      <c r="N164" s="17">
        <v>2.0552313</v>
      </c>
      <c r="O164" s="21">
        <v>4.3830264999999997</v>
      </c>
      <c r="P164" s="22">
        <v>2.1326195999999999</v>
      </c>
      <c r="Q164" s="25">
        <f t="shared" si="8"/>
        <v>0.51964999999999995</v>
      </c>
      <c r="R164">
        <v>0.32522000000000001</v>
      </c>
      <c r="S164" s="24">
        <v>0.19442999999999999</v>
      </c>
      <c r="T164">
        <f>Q164/100</f>
        <v>5.1964999999999997E-3</v>
      </c>
      <c r="U164">
        <f>R164/100</f>
        <v>3.2522000000000002E-3</v>
      </c>
      <c r="V164">
        <f>S164/100</f>
        <v>1.9442999999999999E-3</v>
      </c>
      <c r="W164">
        <v>0.73943999999999999</v>
      </c>
      <c r="X164">
        <v>0.46200000000000002</v>
      </c>
      <c r="Y164">
        <v>0.46200000000000002</v>
      </c>
      <c r="Z164" s="5">
        <f t="shared" si="6"/>
        <v>46.2</v>
      </c>
    </row>
    <row r="165" spans="1:26" x14ac:dyDescent="0.25">
      <c r="A165" t="s">
        <v>18</v>
      </c>
      <c r="B165">
        <v>5</v>
      </c>
      <c r="C165">
        <v>1993</v>
      </c>
      <c r="D165" s="5">
        <v>36.5</v>
      </c>
      <c r="E165" s="5">
        <v>49.4</v>
      </c>
      <c r="F165" s="5">
        <f t="shared" si="7"/>
        <v>12.899999999999999</v>
      </c>
      <c r="G165" s="7">
        <v>1.02951657</v>
      </c>
      <c r="H165" s="7">
        <v>6.919773095623988</v>
      </c>
      <c r="I165" s="8">
        <v>40052.077407999997</v>
      </c>
      <c r="J165" s="13">
        <v>2.7517809999999998</v>
      </c>
      <c r="K165" s="7">
        <v>20.044618701975153</v>
      </c>
      <c r="L165" s="5">
        <v>0.61419630050659202</v>
      </c>
      <c r="M165" s="5">
        <v>61.419630050659201</v>
      </c>
      <c r="N165" s="17">
        <v>2.0678337</v>
      </c>
      <c r="O165" s="21">
        <v>4.3921225000000002</v>
      </c>
      <c r="P165" s="22">
        <v>2.1240212000000001</v>
      </c>
      <c r="Q165" s="25">
        <f t="shared" si="8"/>
        <v>0.42784</v>
      </c>
      <c r="R165">
        <v>0.33935999999999999</v>
      </c>
      <c r="S165" s="24">
        <v>8.8480000000000003E-2</v>
      </c>
      <c r="T165">
        <f>Q165/100</f>
        <v>4.2783999999999999E-3</v>
      </c>
      <c r="U165">
        <f>R165/100</f>
        <v>3.3936000000000001E-3</v>
      </c>
      <c r="V165">
        <f>S165/100</f>
        <v>8.8480000000000004E-4</v>
      </c>
      <c r="W165">
        <v>0.75027999999999995</v>
      </c>
      <c r="X165">
        <v>0.48299999999999998</v>
      </c>
      <c r="Y165">
        <v>0.48299999999999998</v>
      </c>
      <c r="Z165" s="5">
        <f t="shared" si="6"/>
        <v>48.3</v>
      </c>
    </row>
    <row r="166" spans="1:26" x14ac:dyDescent="0.25">
      <c r="A166" t="s">
        <v>18</v>
      </c>
      <c r="B166">
        <v>5</v>
      </c>
      <c r="C166">
        <v>1994</v>
      </c>
      <c r="D166" s="5">
        <v>36.700000000000003</v>
      </c>
      <c r="E166" s="5">
        <v>49.7</v>
      </c>
      <c r="F166" s="5">
        <f t="shared" si="7"/>
        <v>13</v>
      </c>
      <c r="G166" s="7">
        <v>1.02607442</v>
      </c>
      <c r="H166" s="7">
        <v>6.1013927801888572</v>
      </c>
      <c r="I166" s="8">
        <v>41163.879427</v>
      </c>
      <c r="J166" s="13">
        <v>4.0287930000000003</v>
      </c>
      <c r="K166" s="7">
        <v>21.055459161745276</v>
      </c>
      <c r="L166" s="5">
        <v>0.60795438289642301</v>
      </c>
      <c r="M166" s="5">
        <v>60.795438289642298</v>
      </c>
      <c r="N166" s="17">
        <v>2.1104156999999999</v>
      </c>
      <c r="O166" s="21">
        <v>4.5297273000000002</v>
      </c>
      <c r="P166" s="22">
        <v>2.1463673000000001</v>
      </c>
      <c r="Q166" s="25">
        <f t="shared" si="8"/>
        <v>0.97336999999999985</v>
      </c>
      <c r="R166">
        <v>0.57251999999999992</v>
      </c>
      <c r="S166" s="24">
        <v>0.40084999999999998</v>
      </c>
      <c r="T166">
        <f>Q166/100</f>
        <v>9.7336999999999979E-3</v>
      </c>
      <c r="U166">
        <f>R166/100</f>
        <v>5.7251999999999989E-3</v>
      </c>
      <c r="V166">
        <f>S166/100</f>
        <v>4.0084999999999999E-3</v>
      </c>
      <c r="W166">
        <v>0.74926000000000004</v>
      </c>
      <c r="X166">
        <v>0.48599999999999999</v>
      </c>
      <c r="Y166">
        <v>0.48599999999999999</v>
      </c>
      <c r="Z166" s="5">
        <f t="shared" si="6"/>
        <v>48.6</v>
      </c>
    </row>
    <row r="167" spans="1:26" x14ac:dyDescent="0.25">
      <c r="A167" t="s">
        <v>18</v>
      </c>
      <c r="B167">
        <v>5</v>
      </c>
      <c r="C167">
        <v>1995</v>
      </c>
      <c r="D167" s="5">
        <v>36.700000000000003</v>
      </c>
      <c r="E167" s="5">
        <v>49.4</v>
      </c>
      <c r="F167" s="5">
        <f t="shared" si="7"/>
        <v>12.699999999999996</v>
      </c>
      <c r="G167" s="7">
        <v>1.0280541999999999</v>
      </c>
      <c r="H167" s="7">
        <v>5.5964501478034316</v>
      </c>
      <c r="I167" s="8">
        <v>41772.055194</v>
      </c>
      <c r="J167" s="13">
        <v>2.6842169999999999</v>
      </c>
      <c r="K167" s="7">
        <v>22.453381649056794</v>
      </c>
      <c r="L167" s="5">
        <v>0.607377409934998</v>
      </c>
      <c r="M167" s="5">
        <v>60.737740993499798</v>
      </c>
      <c r="N167" s="17">
        <v>2.1138851999999999</v>
      </c>
      <c r="O167" s="21">
        <v>4.5935173000000002</v>
      </c>
      <c r="P167" s="22">
        <v>2.1730211000000001</v>
      </c>
      <c r="Q167" s="25">
        <f t="shared" si="8"/>
        <v>0.57996000000000003</v>
      </c>
      <c r="R167">
        <v>0.40359</v>
      </c>
      <c r="S167" s="24">
        <v>0.17637</v>
      </c>
      <c r="T167">
        <f>Q167/100</f>
        <v>5.7996000000000002E-3</v>
      </c>
      <c r="U167">
        <f>R167/100</f>
        <v>4.0359000000000003E-3</v>
      </c>
      <c r="V167">
        <f>S167/100</f>
        <v>1.7637E-3</v>
      </c>
      <c r="W167">
        <v>0.74246999999999996</v>
      </c>
      <c r="X167">
        <v>0.48</v>
      </c>
      <c r="Y167">
        <v>0.48</v>
      </c>
      <c r="Z167" s="5">
        <f t="shared" si="6"/>
        <v>48</v>
      </c>
    </row>
    <row r="168" spans="1:26" x14ac:dyDescent="0.25">
      <c r="A168" t="s">
        <v>18</v>
      </c>
      <c r="B168">
        <v>5</v>
      </c>
      <c r="C168">
        <v>1996</v>
      </c>
      <c r="D168" s="5">
        <v>36.799999999999997</v>
      </c>
      <c r="E168" s="5">
        <v>49.5</v>
      </c>
      <c r="F168" s="5">
        <f t="shared" si="7"/>
        <v>12.700000000000003</v>
      </c>
      <c r="G168" s="7">
        <v>1.02931204</v>
      </c>
      <c r="H168" s="7">
        <v>5.4020952133513118</v>
      </c>
      <c r="I168" s="8">
        <v>42845.528421000003</v>
      </c>
      <c r="J168" s="13">
        <v>3.7725659999999999</v>
      </c>
      <c r="K168" s="7">
        <v>22.687071990241197</v>
      </c>
      <c r="L168" s="5">
        <v>0.60711616277694702</v>
      </c>
      <c r="M168" s="5">
        <v>60.711616277694702</v>
      </c>
      <c r="N168" s="17">
        <v>2.1071734000000002</v>
      </c>
      <c r="O168" s="21">
        <v>4.6298035999999998</v>
      </c>
      <c r="P168" s="22">
        <v>2.1971631</v>
      </c>
      <c r="Q168" s="25">
        <f t="shared" si="8"/>
        <v>0.38843</v>
      </c>
      <c r="R168">
        <v>0.30279</v>
      </c>
      <c r="S168" s="24">
        <v>8.5639999999999994E-2</v>
      </c>
      <c r="T168">
        <f>Q168/100</f>
        <v>3.8842999999999998E-3</v>
      </c>
      <c r="U168">
        <f>R168/100</f>
        <v>3.0279E-3</v>
      </c>
      <c r="V168">
        <f>S168/100</f>
        <v>8.5639999999999989E-4</v>
      </c>
      <c r="W168">
        <v>0.74102000000000001</v>
      </c>
      <c r="X168">
        <v>0.48099999999999998</v>
      </c>
      <c r="Y168">
        <v>0.48099999999999998</v>
      </c>
      <c r="Z168" s="5">
        <f t="shared" si="6"/>
        <v>48.1</v>
      </c>
    </row>
    <row r="169" spans="1:26" x14ac:dyDescent="0.25">
      <c r="A169" t="s">
        <v>18</v>
      </c>
      <c r="B169">
        <v>5</v>
      </c>
      <c r="C169">
        <v>1997</v>
      </c>
      <c r="D169" s="5">
        <v>37</v>
      </c>
      <c r="E169" s="5">
        <v>49.5</v>
      </c>
      <c r="F169" s="5">
        <f t="shared" si="7"/>
        <v>12.5</v>
      </c>
      <c r="G169" s="7">
        <v>1.0233768999999999</v>
      </c>
      <c r="H169" s="7">
        <v>4.944234200656215</v>
      </c>
      <c r="I169" s="8">
        <v>44219.096406999997</v>
      </c>
      <c r="J169" s="13">
        <v>4.4471749999999997</v>
      </c>
      <c r="K169" s="7">
        <v>23.428321091683859</v>
      </c>
      <c r="L169" s="5">
        <v>0.60960984230041504</v>
      </c>
      <c r="M169" s="5">
        <v>60.960984230041504</v>
      </c>
      <c r="N169" s="17">
        <v>2.0964152999999999</v>
      </c>
      <c r="O169" s="21">
        <v>4.6205192000000004</v>
      </c>
      <c r="P169" s="22">
        <v>2.2040093999999999</v>
      </c>
      <c r="Q169" s="25">
        <f t="shared" si="8"/>
        <v>0.40218999999999999</v>
      </c>
      <c r="R169">
        <v>0.34101999999999999</v>
      </c>
      <c r="S169" s="24">
        <v>6.1170000000000002E-2</v>
      </c>
      <c r="T169">
        <f>Q169/100</f>
        <v>4.0219000000000001E-3</v>
      </c>
      <c r="U169">
        <f>R169/100</f>
        <v>3.4102E-3</v>
      </c>
      <c r="V169">
        <f>S169/100</f>
        <v>6.1170000000000007E-4</v>
      </c>
      <c r="W169">
        <v>0.74222999999999995</v>
      </c>
      <c r="X169">
        <v>0.48</v>
      </c>
      <c r="Y169">
        <v>0.48</v>
      </c>
      <c r="Z169" s="5">
        <f t="shared" si="6"/>
        <v>48</v>
      </c>
    </row>
    <row r="170" spans="1:26" x14ac:dyDescent="0.25">
      <c r="A170" t="s">
        <v>18</v>
      </c>
      <c r="B170">
        <v>5</v>
      </c>
      <c r="C170">
        <v>1998</v>
      </c>
      <c r="D170" s="5">
        <v>36.799999999999997</v>
      </c>
      <c r="E170" s="5">
        <v>49.3</v>
      </c>
      <c r="F170" s="5">
        <f t="shared" si="7"/>
        <v>12.5</v>
      </c>
      <c r="G170" s="7">
        <v>1.0155227899999999</v>
      </c>
      <c r="H170" s="7">
        <v>4.5104366641897888</v>
      </c>
      <c r="I170" s="8">
        <v>45666.035830000001</v>
      </c>
      <c r="J170" s="13">
        <v>4.4813939999999999</v>
      </c>
      <c r="K170" s="7">
        <v>22.825890952369342</v>
      </c>
      <c r="L170" s="5">
        <v>0.62301325798034701</v>
      </c>
      <c r="M170" s="5">
        <v>62.301325798034703</v>
      </c>
      <c r="N170" s="17">
        <v>2.0429688000000001</v>
      </c>
      <c r="O170" s="21">
        <v>4.5117187999999997</v>
      </c>
      <c r="P170" s="22">
        <v>2.2084130000000002</v>
      </c>
      <c r="Q170" s="25">
        <f t="shared" si="8"/>
        <v>0.20338000000000001</v>
      </c>
      <c r="R170">
        <v>0.23702000000000001</v>
      </c>
      <c r="S170" s="24">
        <v>-3.3639999999999996E-2</v>
      </c>
      <c r="T170">
        <f>Q170/100</f>
        <v>2.0338000000000001E-3</v>
      </c>
      <c r="U170">
        <f>R170/100</f>
        <v>2.3702000000000003E-3</v>
      </c>
      <c r="V170">
        <f>S170/100</f>
        <v>-3.3639999999999994E-4</v>
      </c>
      <c r="W170">
        <v>0.73728000000000005</v>
      </c>
      <c r="X170">
        <v>0.47</v>
      </c>
      <c r="Y170">
        <v>0.47</v>
      </c>
      <c r="Z170" s="5">
        <f t="shared" si="6"/>
        <v>47</v>
      </c>
    </row>
    <row r="171" spans="1:26" x14ac:dyDescent="0.25">
      <c r="A171" t="s">
        <v>18</v>
      </c>
      <c r="B171">
        <v>5</v>
      </c>
      <c r="C171">
        <v>1999</v>
      </c>
      <c r="D171" s="5">
        <v>36.799999999999997</v>
      </c>
      <c r="E171" s="5">
        <v>49.3</v>
      </c>
      <c r="F171" s="5">
        <f t="shared" si="7"/>
        <v>12.5</v>
      </c>
      <c r="G171" s="7">
        <v>1.02188027</v>
      </c>
      <c r="H171" s="7">
        <v>4.2187588793952102</v>
      </c>
      <c r="I171" s="8">
        <v>47311.712518</v>
      </c>
      <c r="J171" s="13">
        <v>4.7945000000000002</v>
      </c>
      <c r="K171" s="7">
        <v>23.313563704660236</v>
      </c>
      <c r="L171" s="5">
        <v>0.62598866224288896</v>
      </c>
      <c r="M171" s="5">
        <v>62.598866224288898</v>
      </c>
      <c r="N171" s="17">
        <v>2.0408922</v>
      </c>
      <c r="O171" s="21">
        <v>4.5018586999999997</v>
      </c>
      <c r="P171" s="22">
        <v>2.2058287999999999</v>
      </c>
      <c r="Q171" s="25">
        <f t="shared" si="8"/>
        <v>0</v>
      </c>
      <c r="R171">
        <v>0</v>
      </c>
      <c r="S171" s="24">
        <v>0</v>
      </c>
      <c r="T171">
        <f>Q171/100</f>
        <v>0</v>
      </c>
      <c r="U171">
        <f>R171/100</f>
        <v>0</v>
      </c>
      <c r="V171">
        <f>S171/100</f>
        <v>0</v>
      </c>
      <c r="W171">
        <v>0.73716000000000004</v>
      </c>
      <c r="X171">
        <v>0.47699999999999998</v>
      </c>
      <c r="Y171">
        <v>0.47699999999999998</v>
      </c>
      <c r="Z171" s="5">
        <f t="shared" si="6"/>
        <v>47.699999999999996</v>
      </c>
    </row>
    <row r="172" spans="1:26" x14ac:dyDescent="0.25">
      <c r="A172" t="s">
        <v>18</v>
      </c>
      <c r="B172">
        <v>5</v>
      </c>
      <c r="C172">
        <v>2000</v>
      </c>
      <c r="D172" s="5">
        <v>37</v>
      </c>
      <c r="E172" s="5">
        <v>49.3</v>
      </c>
      <c r="F172" s="5">
        <f t="shared" si="7"/>
        <v>12.299999999999997</v>
      </c>
      <c r="G172" s="7">
        <v>1.0337685700000001</v>
      </c>
      <c r="H172" s="7">
        <v>3.9920137520286487</v>
      </c>
      <c r="I172" s="8">
        <v>48705.379959999998</v>
      </c>
      <c r="J172" s="13">
        <v>4.0771550000000003</v>
      </c>
      <c r="K172" s="7">
        <v>25.102995359581275</v>
      </c>
      <c r="L172" s="5">
        <v>0.63707315921783403</v>
      </c>
      <c r="M172" s="5">
        <v>63.707315921783405</v>
      </c>
      <c r="N172" s="17">
        <v>2.0498221000000001</v>
      </c>
      <c r="O172" s="21">
        <v>4.4875445000000003</v>
      </c>
      <c r="P172" s="22">
        <v>2.1892361</v>
      </c>
      <c r="Q172" s="25">
        <f t="shared" si="8"/>
        <v>0</v>
      </c>
      <c r="R172">
        <v>0</v>
      </c>
      <c r="S172" s="24">
        <v>0</v>
      </c>
      <c r="T172">
        <f>Q172/100</f>
        <v>0</v>
      </c>
      <c r="U172">
        <f>R172/100</f>
        <v>0</v>
      </c>
      <c r="V172">
        <f>S172/100</f>
        <v>0</v>
      </c>
      <c r="W172">
        <v>0.73570999999999998</v>
      </c>
      <c r="X172">
        <v>0.47599999999999998</v>
      </c>
      <c r="Y172">
        <v>0.47599999999999998</v>
      </c>
      <c r="Z172" s="5">
        <f t="shared" si="6"/>
        <v>47.599999999999994</v>
      </c>
    </row>
    <row r="173" spans="1:26" x14ac:dyDescent="0.25">
      <c r="A173" t="s">
        <v>18</v>
      </c>
      <c r="B173">
        <v>5</v>
      </c>
      <c r="C173">
        <v>2001</v>
      </c>
      <c r="D173" s="5">
        <v>37.299999999999997</v>
      </c>
      <c r="E173" s="5">
        <v>49.7</v>
      </c>
      <c r="F173" s="5">
        <f t="shared" si="7"/>
        <v>12.400000000000006</v>
      </c>
      <c r="G173" s="7">
        <v>1.02826171</v>
      </c>
      <c r="H173" s="7">
        <v>4.7313125156974101</v>
      </c>
      <c r="I173" s="8">
        <v>48682.847554</v>
      </c>
      <c r="J173" s="13">
        <v>0.95434399999999997</v>
      </c>
      <c r="K173" s="7">
        <v>22.967181335595964</v>
      </c>
      <c r="L173" s="5">
        <v>0.640336573123932</v>
      </c>
      <c r="M173" s="5">
        <v>64.033657312393203</v>
      </c>
      <c r="N173" s="17">
        <v>2.0551724</v>
      </c>
      <c r="O173" s="21">
        <v>4.6310345000000002</v>
      </c>
      <c r="P173" s="22">
        <v>2.2533557000000002</v>
      </c>
      <c r="Q173" s="25">
        <f t="shared" si="8"/>
        <v>0</v>
      </c>
      <c r="R173">
        <v>0</v>
      </c>
      <c r="S173" s="24">
        <v>0</v>
      </c>
      <c r="T173">
        <f>Q173/100</f>
        <v>0</v>
      </c>
      <c r="U173">
        <f>R173/100</f>
        <v>0</v>
      </c>
      <c r="V173">
        <f>S173/100</f>
        <v>0</v>
      </c>
      <c r="W173">
        <v>0.73975000000000002</v>
      </c>
      <c r="X173">
        <v>0.48</v>
      </c>
      <c r="Y173">
        <v>0.48</v>
      </c>
      <c r="Z173" s="5">
        <f t="shared" si="6"/>
        <v>48</v>
      </c>
    </row>
    <row r="174" spans="1:26" x14ac:dyDescent="0.25">
      <c r="A174" t="s">
        <v>18</v>
      </c>
      <c r="B174">
        <v>5</v>
      </c>
      <c r="C174">
        <v>2002</v>
      </c>
      <c r="D174" s="5">
        <v>37.4</v>
      </c>
      <c r="E174" s="5">
        <v>49.8</v>
      </c>
      <c r="F174" s="5">
        <f t="shared" si="7"/>
        <v>12.399999999999999</v>
      </c>
      <c r="G174" s="7">
        <v>1.01586032</v>
      </c>
      <c r="H174" s="7">
        <v>5.7832840568565178</v>
      </c>
      <c r="I174" s="8">
        <v>49039.108446999999</v>
      </c>
      <c r="J174" s="13">
        <v>1.695943</v>
      </c>
      <c r="K174" s="7">
        <v>22.286374109489657</v>
      </c>
      <c r="L174" s="5">
        <v>0.62961667776107799</v>
      </c>
      <c r="M174" s="5">
        <v>62.961667776107802</v>
      </c>
      <c r="N174" s="17">
        <v>2.0610168999999998</v>
      </c>
      <c r="O174" s="21">
        <v>4.6644068000000001</v>
      </c>
      <c r="P174" s="22">
        <v>2.2631578999999999</v>
      </c>
      <c r="Q174" s="25">
        <f t="shared" si="8"/>
        <v>0</v>
      </c>
      <c r="R174">
        <v>0</v>
      </c>
      <c r="S174" s="24">
        <v>0</v>
      </c>
      <c r="T174">
        <f>Q174/100</f>
        <v>0</v>
      </c>
      <c r="U174">
        <f>R174/100</f>
        <v>0</v>
      </c>
      <c r="V174">
        <f>S174/100</f>
        <v>0</v>
      </c>
      <c r="W174">
        <v>0.74243999999999999</v>
      </c>
      <c r="X174">
        <v>0.47899999999999998</v>
      </c>
      <c r="Y174">
        <v>0.47899999999999998</v>
      </c>
      <c r="Z174" s="5">
        <f t="shared" si="6"/>
        <v>47.9</v>
      </c>
    </row>
    <row r="175" spans="1:26" x14ac:dyDescent="0.25">
      <c r="A175" t="s">
        <v>18</v>
      </c>
      <c r="B175">
        <v>5</v>
      </c>
      <c r="C175">
        <v>2003</v>
      </c>
      <c r="D175" s="5">
        <v>37.799999999999997</v>
      </c>
      <c r="E175" s="5">
        <v>50.1</v>
      </c>
      <c r="F175" s="5">
        <f t="shared" si="7"/>
        <v>12.300000000000004</v>
      </c>
      <c r="G175" s="7">
        <v>1.0227009499999999</v>
      </c>
      <c r="H175" s="7">
        <v>5.9888526152193329</v>
      </c>
      <c r="I175" s="8">
        <v>49947.045487000003</v>
      </c>
      <c r="J175" s="13">
        <v>2.7962039999999999</v>
      </c>
      <c r="K175" s="7">
        <v>22.627313006278925</v>
      </c>
      <c r="L175" s="5">
        <v>0.62144571542739901</v>
      </c>
      <c r="M175" s="5">
        <v>62.144571542739904</v>
      </c>
      <c r="N175" s="17">
        <v>2.0598006999999998</v>
      </c>
      <c r="O175" s="21">
        <v>4.7142856999999996</v>
      </c>
      <c r="P175" s="22">
        <v>2.2887097000000001</v>
      </c>
      <c r="Q175" s="25">
        <f t="shared" si="8"/>
        <v>0</v>
      </c>
      <c r="R175">
        <v>0</v>
      </c>
      <c r="S175" s="24">
        <v>0</v>
      </c>
      <c r="T175">
        <f>Q175/100</f>
        <v>0</v>
      </c>
      <c r="U175">
        <f>R175/100</f>
        <v>0</v>
      </c>
      <c r="V175">
        <f>S175/100</f>
        <v>0</v>
      </c>
      <c r="W175">
        <v>0.74263999999999997</v>
      </c>
      <c r="X175">
        <v>0.47499999999999998</v>
      </c>
      <c r="Y175">
        <v>0.47499999999999998</v>
      </c>
      <c r="Z175" s="5">
        <f t="shared" si="6"/>
        <v>47.5</v>
      </c>
    </row>
    <row r="176" spans="1:26" x14ac:dyDescent="0.25">
      <c r="A176" t="s">
        <v>18</v>
      </c>
      <c r="B176">
        <v>5</v>
      </c>
      <c r="C176">
        <v>2004</v>
      </c>
      <c r="D176" s="5">
        <v>37.700000000000003</v>
      </c>
      <c r="E176" s="5">
        <v>50.2</v>
      </c>
      <c r="F176" s="5">
        <f t="shared" si="7"/>
        <v>12.5</v>
      </c>
      <c r="G176" s="7">
        <v>1.02677237</v>
      </c>
      <c r="H176" s="7">
        <v>5.5286184915726597</v>
      </c>
      <c r="I176" s="8">
        <v>51405.036201000003</v>
      </c>
      <c r="J176" s="13">
        <v>3.852557</v>
      </c>
      <c r="K176" s="7">
        <v>24.448062264325664</v>
      </c>
      <c r="L176" s="5">
        <v>0.61711513996124301</v>
      </c>
      <c r="M176" s="5">
        <v>61.711513996124303</v>
      </c>
      <c r="N176" s="17">
        <v>2.0918033</v>
      </c>
      <c r="O176" s="21">
        <v>4.7868852000000004</v>
      </c>
      <c r="P176" s="22">
        <v>2.2884012999999999</v>
      </c>
      <c r="Q176" s="25">
        <f t="shared" si="8"/>
        <v>0</v>
      </c>
      <c r="R176">
        <v>0</v>
      </c>
      <c r="S176" s="24">
        <v>0</v>
      </c>
      <c r="T176">
        <f>Q176/100</f>
        <v>0</v>
      </c>
      <c r="U176">
        <f>R176/100</f>
        <v>0</v>
      </c>
      <c r="V176">
        <f>S176/100</f>
        <v>0</v>
      </c>
      <c r="W176">
        <v>0.74460999999999999</v>
      </c>
      <c r="X176">
        <v>0.47599999999999998</v>
      </c>
      <c r="Y176">
        <v>0.47599999999999998</v>
      </c>
      <c r="Z176" s="5">
        <f t="shared" si="6"/>
        <v>47.599999999999994</v>
      </c>
    </row>
    <row r="177" spans="1:26" x14ac:dyDescent="0.25">
      <c r="A177" t="s">
        <v>18</v>
      </c>
      <c r="B177">
        <v>5</v>
      </c>
      <c r="C177">
        <v>2005</v>
      </c>
      <c r="D177" s="5">
        <v>38.299999999999997</v>
      </c>
      <c r="E177" s="5">
        <v>50.4</v>
      </c>
      <c r="F177" s="5">
        <f t="shared" si="7"/>
        <v>12.100000000000001</v>
      </c>
      <c r="G177" s="7">
        <v>1.0339274700000001</v>
      </c>
      <c r="H177" s="7">
        <v>5.0834233523506178</v>
      </c>
      <c r="I177" s="8">
        <v>52704.773601000001</v>
      </c>
      <c r="J177" s="13">
        <v>3.4832190000000001</v>
      </c>
      <c r="K177" s="7">
        <v>25.638553031651657</v>
      </c>
      <c r="L177" s="5">
        <v>0.60563534498214699</v>
      </c>
      <c r="M177" s="5">
        <v>60.5635344982147</v>
      </c>
      <c r="N177" s="17">
        <v>2.1</v>
      </c>
      <c r="O177" s="21">
        <v>4.8580645000000002</v>
      </c>
      <c r="P177" s="22">
        <v>2.3133640999999998</v>
      </c>
      <c r="Q177" s="25">
        <f t="shared" si="8"/>
        <v>0</v>
      </c>
      <c r="R177">
        <v>0</v>
      </c>
      <c r="S177" s="24">
        <v>0</v>
      </c>
      <c r="T177">
        <f>Q177/100</f>
        <v>0</v>
      </c>
      <c r="U177">
        <f>R177/100</f>
        <v>0</v>
      </c>
      <c r="V177">
        <f>S177/100</f>
        <v>0</v>
      </c>
      <c r="W177">
        <v>0.74368000000000001</v>
      </c>
      <c r="X177">
        <v>0.47599999999999998</v>
      </c>
      <c r="Y177">
        <v>0.47599999999999998</v>
      </c>
      <c r="Z177" s="5">
        <f t="shared" si="6"/>
        <v>47.599999999999994</v>
      </c>
    </row>
    <row r="178" spans="1:26" x14ac:dyDescent="0.25">
      <c r="A178" t="s">
        <v>18</v>
      </c>
      <c r="B178">
        <v>5</v>
      </c>
      <c r="C178">
        <v>2006</v>
      </c>
      <c r="D178" s="5">
        <v>38.5</v>
      </c>
      <c r="E178" s="5">
        <v>50.3</v>
      </c>
      <c r="F178" s="5">
        <f t="shared" si="7"/>
        <v>11.799999999999997</v>
      </c>
      <c r="G178" s="7">
        <v>1.03225944</v>
      </c>
      <c r="H178" s="7">
        <v>4.6230561667754095</v>
      </c>
      <c r="I178" s="8">
        <v>53659.315033999999</v>
      </c>
      <c r="J178" s="13">
        <v>2.78281</v>
      </c>
      <c r="K178" s="7">
        <v>26.975278097319677</v>
      </c>
      <c r="L178" s="5">
        <v>0.60551089048385598</v>
      </c>
      <c r="M178" s="5">
        <v>60.551089048385599</v>
      </c>
      <c r="N178" s="17">
        <v>2.1034483000000002</v>
      </c>
      <c r="O178" s="21">
        <v>4.8432601999999996</v>
      </c>
      <c r="P178" s="22">
        <v>2.3025335</v>
      </c>
      <c r="Q178" s="25">
        <f t="shared" si="8"/>
        <v>0</v>
      </c>
      <c r="R178">
        <v>0</v>
      </c>
      <c r="S178" s="24">
        <v>0</v>
      </c>
      <c r="T178">
        <f>Q178/100</f>
        <v>0</v>
      </c>
      <c r="U178">
        <f>R178/100</f>
        <v>0</v>
      </c>
      <c r="V178">
        <f>S178/100</f>
        <v>0</v>
      </c>
      <c r="W178">
        <v>0.74219000000000002</v>
      </c>
      <c r="X178">
        <v>0.47699999999999998</v>
      </c>
      <c r="Y178">
        <v>0.47699999999999998</v>
      </c>
      <c r="Z178" s="5">
        <f t="shared" ref="Z178:Z186" si="9">Y178*100</f>
        <v>47.699999999999996</v>
      </c>
    </row>
    <row r="179" spans="1:26" x14ac:dyDescent="0.25">
      <c r="A179" t="s">
        <v>18</v>
      </c>
      <c r="B179">
        <v>5</v>
      </c>
      <c r="C179">
        <v>2007</v>
      </c>
      <c r="D179" s="5">
        <v>38.200000000000003</v>
      </c>
      <c r="E179" s="5">
        <v>49.9</v>
      </c>
      <c r="F179" s="5">
        <f t="shared" si="7"/>
        <v>11.699999999999996</v>
      </c>
      <c r="G179" s="7">
        <v>1.0285267300000001</v>
      </c>
      <c r="H179" s="7">
        <v>4.622174026052055</v>
      </c>
      <c r="I179" s="8">
        <v>54215.969730999997</v>
      </c>
      <c r="J179" s="13">
        <v>2.0105059999999999</v>
      </c>
      <c r="K179" s="7">
        <v>28.01201768226667</v>
      </c>
      <c r="L179" s="5">
        <v>0.60400372743606601</v>
      </c>
      <c r="M179" s="5">
        <v>60.400372743606603</v>
      </c>
      <c r="N179" s="17">
        <v>2.1060606000000002</v>
      </c>
      <c r="O179" s="21">
        <v>4.8545455000000004</v>
      </c>
      <c r="P179" s="22">
        <v>2.3050359999999999</v>
      </c>
      <c r="Q179" s="25">
        <f t="shared" si="8"/>
        <v>0</v>
      </c>
      <c r="R179">
        <v>0</v>
      </c>
      <c r="S179" s="24">
        <v>0</v>
      </c>
      <c r="T179">
        <f>Q179/100</f>
        <v>0</v>
      </c>
      <c r="U179">
        <f>R179/100</f>
        <v>0</v>
      </c>
      <c r="V179">
        <f>S179/100</f>
        <v>0</v>
      </c>
      <c r="W179">
        <v>0.73675999999999997</v>
      </c>
      <c r="X179">
        <v>0.46600000000000003</v>
      </c>
      <c r="Y179">
        <v>0.46600000000000003</v>
      </c>
      <c r="Z179" s="5">
        <f t="shared" si="9"/>
        <v>46.6</v>
      </c>
    </row>
    <row r="180" spans="1:26" x14ac:dyDescent="0.25">
      <c r="A180" t="s">
        <v>18</v>
      </c>
      <c r="B180">
        <v>5</v>
      </c>
      <c r="C180">
        <v>2008</v>
      </c>
      <c r="D180" s="5">
        <v>38</v>
      </c>
      <c r="E180" s="5">
        <v>50.7</v>
      </c>
      <c r="F180" s="5">
        <f t="shared" si="7"/>
        <v>12.700000000000003</v>
      </c>
      <c r="G180" s="7">
        <v>1.0383910000000001</v>
      </c>
      <c r="H180" s="7">
        <v>5.7841991565053892</v>
      </c>
      <c r="I180" s="8">
        <v>53774.763192999999</v>
      </c>
      <c r="J180" s="13">
        <v>0.12219099999999999</v>
      </c>
      <c r="K180" s="7">
        <v>29.867795794531933</v>
      </c>
      <c r="L180" s="5">
        <v>0.60408860445022605</v>
      </c>
      <c r="M180" s="5">
        <v>60.408860445022604</v>
      </c>
      <c r="N180" s="17">
        <v>2.0867051999999999</v>
      </c>
      <c r="O180" s="21">
        <v>4.8930635999999996</v>
      </c>
      <c r="P180" s="22">
        <v>2.3448753</v>
      </c>
      <c r="Q180" s="25">
        <f t="shared" si="8"/>
        <v>0</v>
      </c>
      <c r="R180">
        <v>0</v>
      </c>
      <c r="S180" s="24">
        <v>0</v>
      </c>
      <c r="T180">
        <f>Q180/100</f>
        <v>0</v>
      </c>
      <c r="U180">
        <f>R180/100</f>
        <v>0</v>
      </c>
      <c r="V180">
        <f>S180/100</f>
        <v>0</v>
      </c>
      <c r="W180">
        <v>0.74365000000000003</v>
      </c>
      <c r="X180">
        <v>0.47599999999999998</v>
      </c>
      <c r="Y180">
        <v>0.47599999999999998</v>
      </c>
      <c r="Z180" s="5">
        <f t="shared" si="9"/>
        <v>47.599999999999994</v>
      </c>
    </row>
    <row r="181" spans="1:26" x14ac:dyDescent="0.25">
      <c r="A181" t="s">
        <v>18</v>
      </c>
      <c r="B181">
        <v>5</v>
      </c>
      <c r="C181">
        <v>2009</v>
      </c>
      <c r="D181" s="5">
        <v>37.6</v>
      </c>
      <c r="E181" s="5">
        <v>51.6</v>
      </c>
      <c r="F181" s="5">
        <f t="shared" si="7"/>
        <v>14</v>
      </c>
      <c r="G181" s="7">
        <v>0.99644453700000002</v>
      </c>
      <c r="H181" s="7">
        <v>9.2541812095340656</v>
      </c>
      <c r="I181" s="8">
        <v>51916.907292999997</v>
      </c>
      <c r="J181" s="13">
        <v>-2.599891</v>
      </c>
      <c r="K181" s="7">
        <v>24.759531168987643</v>
      </c>
      <c r="L181" s="5">
        <v>0.59113609790802002</v>
      </c>
      <c r="M181" s="5">
        <v>59.113609790802002</v>
      </c>
      <c r="N181" s="17">
        <v>2.1114286</v>
      </c>
      <c r="O181" s="21">
        <v>4.9828571000000004</v>
      </c>
      <c r="P181" s="22">
        <v>2.3599459</v>
      </c>
      <c r="Q181" s="25">
        <f t="shared" si="8"/>
        <v>0</v>
      </c>
      <c r="R181">
        <v>0</v>
      </c>
      <c r="S181" s="24">
        <v>0</v>
      </c>
      <c r="T181">
        <f>Q181/100</f>
        <v>0</v>
      </c>
      <c r="U181">
        <f>R181/100</f>
        <v>0</v>
      </c>
      <c r="V181">
        <f>S181/100</f>
        <v>0</v>
      </c>
      <c r="W181">
        <v>0.754</v>
      </c>
      <c r="X181">
        <v>0.48099999999999998</v>
      </c>
      <c r="Y181">
        <v>0.48099999999999998</v>
      </c>
      <c r="Z181" s="5">
        <f t="shared" si="9"/>
        <v>48.1</v>
      </c>
    </row>
    <row r="182" spans="1:26" x14ac:dyDescent="0.25">
      <c r="A182" t="s">
        <v>18</v>
      </c>
      <c r="B182">
        <v>5</v>
      </c>
      <c r="C182">
        <v>2010</v>
      </c>
      <c r="D182" s="5">
        <v>37.200000000000003</v>
      </c>
      <c r="E182" s="5">
        <v>51.9</v>
      </c>
      <c r="F182" s="5">
        <f t="shared" si="7"/>
        <v>14.699999999999996</v>
      </c>
      <c r="G182" s="7">
        <v>1.01640043</v>
      </c>
      <c r="H182" s="7">
        <v>9.633429636763216</v>
      </c>
      <c r="I182" s="8">
        <v>52875.975941999997</v>
      </c>
      <c r="J182" s="13">
        <v>2.70886</v>
      </c>
      <c r="K182" s="7">
        <v>28.219895234673064</v>
      </c>
      <c r="L182" s="5">
        <v>0.58799958229064897</v>
      </c>
      <c r="M182" s="5">
        <v>58.799958229064899</v>
      </c>
      <c r="N182" s="17">
        <v>2.1161473000000002</v>
      </c>
      <c r="O182" s="21">
        <v>5.0113314000000004</v>
      </c>
      <c r="P182" s="22">
        <v>2.3681391999999999</v>
      </c>
      <c r="Q182" s="25">
        <f t="shared" si="8"/>
        <v>0</v>
      </c>
      <c r="R182">
        <v>0</v>
      </c>
      <c r="S182" s="24">
        <v>0</v>
      </c>
      <c r="T182">
        <f>Q182/100</f>
        <v>0</v>
      </c>
      <c r="U182">
        <f>R182/100</f>
        <v>0</v>
      </c>
      <c r="V182">
        <f>S182/100</f>
        <v>0</v>
      </c>
      <c r="W182">
        <v>0.75580999999999998</v>
      </c>
      <c r="X182">
        <v>0.47599999999999998</v>
      </c>
      <c r="Y182">
        <v>0.47599999999999998</v>
      </c>
      <c r="Z182" s="5">
        <f t="shared" si="9"/>
        <v>47.599999999999994</v>
      </c>
    </row>
    <row r="183" spans="1:26" x14ac:dyDescent="0.25">
      <c r="A183" t="s">
        <v>18</v>
      </c>
      <c r="B183">
        <v>5</v>
      </c>
      <c r="C183">
        <v>2011</v>
      </c>
      <c r="D183" s="5">
        <v>37.9</v>
      </c>
      <c r="E183" s="5">
        <v>52.6</v>
      </c>
      <c r="F183" s="5">
        <f t="shared" si="7"/>
        <v>14.700000000000003</v>
      </c>
      <c r="G183" s="7">
        <v>1.0315684199999999</v>
      </c>
      <c r="H183" s="7">
        <v>8.9491702399543787</v>
      </c>
      <c r="I183" s="8">
        <v>53273.217613000001</v>
      </c>
      <c r="J183" s="13">
        <v>1.549895</v>
      </c>
      <c r="K183" s="7">
        <v>30.842486241194344</v>
      </c>
      <c r="L183" s="5">
        <v>0.59265625476837203</v>
      </c>
      <c r="M183" s="5">
        <v>59.265625476837201</v>
      </c>
      <c r="N183" s="17">
        <v>2.1117317999999998</v>
      </c>
      <c r="O183" s="21">
        <v>5.0335196</v>
      </c>
      <c r="P183" s="22">
        <v>2.3835978999999998</v>
      </c>
      <c r="Q183" s="25">
        <f t="shared" si="8"/>
        <v>3.6749999999999998E-2</v>
      </c>
      <c r="R183">
        <v>3.6749999999999998E-2</v>
      </c>
      <c r="S183" s="24">
        <v>0</v>
      </c>
      <c r="T183">
        <f>Q183/100</f>
        <v>3.6749999999999999E-4</v>
      </c>
      <c r="U183">
        <f>R183/100</f>
        <v>3.6749999999999999E-4</v>
      </c>
      <c r="V183">
        <f>S183/100</f>
        <v>0</v>
      </c>
      <c r="W183">
        <v>0.76005</v>
      </c>
      <c r="X183">
        <v>0.48599999999999999</v>
      </c>
      <c r="Y183">
        <v>0.48599999999999999</v>
      </c>
      <c r="Z183" s="5">
        <f t="shared" si="9"/>
        <v>48.6</v>
      </c>
    </row>
    <row r="184" spans="1:26" x14ac:dyDescent="0.25">
      <c r="A184" t="s">
        <v>18</v>
      </c>
      <c r="B184">
        <v>5</v>
      </c>
      <c r="C184">
        <v>2012</v>
      </c>
      <c r="D184" s="5">
        <v>38.1</v>
      </c>
      <c r="E184" s="5">
        <v>52.6</v>
      </c>
      <c r="F184" s="5">
        <f t="shared" si="7"/>
        <v>14.5</v>
      </c>
      <c r="G184" s="7">
        <v>1.02069337</v>
      </c>
      <c r="H184" s="7">
        <v>8.0694384757244073</v>
      </c>
      <c r="I184" s="8">
        <v>54067.507536999998</v>
      </c>
      <c r="J184" s="13">
        <v>2.2806860000000002</v>
      </c>
      <c r="K184" s="7">
        <v>30.681835365729548</v>
      </c>
      <c r="L184" s="5">
        <v>0.59509223699569702</v>
      </c>
      <c r="M184" s="5">
        <v>59.509223699569702</v>
      </c>
      <c r="N184" s="17">
        <v>2.1392758000000001</v>
      </c>
      <c r="O184" s="21">
        <v>5.2228412000000004</v>
      </c>
      <c r="P184" s="22">
        <v>2.4414063000000001</v>
      </c>
      <c r="Q184" s="25">
        <f t="shared" si="8"/>
        <v>0.14199999999999999</v>
      </c>
      <c r="R184">
        <v>0.14199999999999999</v>
      </c>
      <c r="S184" s="24">
        <v>0</v>
      </c>
      <c r="T184">
        <f>Q184/100</f>
        <v>1.4199999999999998E-3</v>
      </c>
      <c r="U184">
        <f>R184/100</f>
        <v>1.4199999999999998E-3</v>
      </c>
      <c r="V184">
        <f>S184/100</f>
        <v>0</v>
      </c>
      <c r="W184">
        <v>0.75800999999999996</v>
      </c>
      <c r="X184">
        <v>0.48499999999999999</v>
      </c>
      <c r="Y184">
        <v>0.48499999999999999</v>
      </c>
      <c r="Z184" s="5">
        <f t="shared" si="9"/>
        <v>48.5</v>
      </c>
    </row>
    <row r="185" spans="1:26" x14ac:dyDescent="0.25">
      <c r="A185" t="s">
        <v>18</v>
      </c>
      <c r="B185">
        <v>5</v>
      </c>
      <c r="C185">
        <v>2013</v>
      </c>
      <c r="D185" s="5">
        <v>38</v>
      </c>
      <c r="E185" s="5">
        <v>52.4</v>
      </c>
      <c r="F185" s="5">
        <f t="shared" si="7"/>
        <v>14.399999999999999</v>
      </c>
      <c r="G185" s="7">
        <v>1.01464833</v>
      </c>
      <c r="H185" s="7">
        <v>7.3749205221469705</v>
      </c>
      <c r="I185" s="8">
        <v>54651.125542000002</v>
      </c>
      <c r="J185" s="13">
        <v>1.8418760000000001</v>
      </c>
      <c r="K185" s="7">
        <v>30.002367141120502</v>
      </c>
      <c r="L185" s="5">
        <v>0.59305697679519698</v>
      </c>
      <c r="M185" s="5">
        <v>59.305697679519696</v>
      </c>
      <c r="N185" s="17">
        <v>2.0860215000000002</v>
      </c>
      <c r="O185" s="21">
        <v>5.0833332999999996</v>
      </c>
      <c r="P185" s="22">
        <v>2.4368557000000002</v>
      </c>
      <c r="Q185" s="25">
        <f t="shared" si="8"/>
        <v>0.55770000000000008</v>
      </c>
      <c r="R185">
        <v>0.38447000000000003</v>
      </c>
      <c r="S185" s="24">
        <v>0.17323</v>
      </c>
      <c r="T185">
        <f>Q185/100</f>
        <v>5.5770000000000012E-3</v>
      </c>
      <c r="U185">
        <f>R185/100</f>
        <v>3.8447000000000004E-3</v>
      </c>
      <c r="V185">
        <f>S185/100</f>
        <v>1.7323E-3</v>
      </c>
      <c r="W185">
        <v>0.75380000000000003</v>
      </c>
      <c r="X185">
        <v>0.47899999999999998</v>
      </c>
      <c r="Y185">
        <v>0.47899999999999998</v>
      </c>
      <c r="Z185" s="5">
        <f t="shared" si="9"/>
        <v>47.9</v>
      </c>
    </row>
    <row r="186" spans="1:26" x14ac:dyDescent="0.25">
      <c r="A186" t="s">
        <v>18</v>
      </c>
      <c r="B186">
        <v>5</v>
      </c>
      <c r="C186">
        <v>2014</v>
      </c>
      <c r="D186" s="5">
        <v>38.4</v>
      </c>
      <c r="E186" s="5">
        <v>52.5</v>
      </c>
      <c r="F186" s="5">
        <f t="shared" si="7"/>
        <v>14.100000000000001</v>
      </c>
      <c r="G186" s="7">
        <v>1.0162222299999999</v>
      </c>
      <c r="H186" s="7">
        <v>6.1674615095515835</v>
      </c>
      <c r="I186" s="8">
        <v>55463.794264999997</v>
      </c>
      <c r="J186" s="13">
        <v>2.2877730000000001</v>
      </c>
      <c r="K186" s="7">
        <v>29.997999780085333</v>
      </c>
      <c r="L186" s="5">
        <v>0.59427058696746804</v>
      </c>
      <c r="M186" s="5">
        <v>59.427058696746805</v>
      </c>
      <c r="N186" s="17">
        <v>2.0870712</v>
      </c>
      <c r="O186" s="21">
        <v>5.0079155999999996</v>
      </c>
      <c r="P186" s="22">
        <v>2.3994943000000002</v>
      </c>
      <c r="Q186" s="25">
        <f t="shared" si="8"/>
        <v>0</v>
      </c>
      <c r="R186">
        <v>0</v>
      </c>
      <c r="S186" s="24">
        <v>0</v>
      </c>
      <c r="T186">
        <f>Q186/100</f>
        <v>0</v>
      </c>
      <c r="U186">
        <f>R186/100</f>
        <v>0</v>
      </c>
      <c r="V186">
        <f>S186/100</f>
        <v>0</v>
      </c>
      <c r="W186">
        <v>0.75343000000000004</v>
      </c>
      <c r="X186">
        <v>0.48</v>
      </c>
      <c r="Y186">
        <v>0.48</v>
      </c>
      <c r="Z186" s="5">
        <f t="shared" si="9"/>
        <v>48</v>
      </c>
    </row>
    <row r="187" spans="1:26" x14ac:dyDescent="0.25">
      <c r="A187" t="s">
        <v>19</v>
      </c>
      <c r="B187">
        <v>6</v>
      </c>
      <c r="C187">
        <v>1978</v>
      </c>
      <c r="D187" s="5">
        <v>30.7</v>
      </c>
      <c r="E187" s="5">
        <v>46.6</v>
      </c>
      <c r="F187" s="5">
        <f t="shared" si="7"/>
        <v>15.900000000000002</v>
      </c>
      <c r="G187" s="7">
        <v>1.09250559</v>
      </c>
      <c r="H187" s="7">
        <v>4.9023567364129219</v>
      </c>
      <c r="I187" s="8">
        <v>25217.116708000001</v>
      </c>
      <c r="J187" s="12">
        <v>3.9785439999999999</v>
      </c>
      <c r="K187" s="7">
        <v>39.438348894912728</v>
      </c>
      <c r="L187" s="5">
        <v>0.68982321023940996</v>
      </c>
      <c r="M187" s="5">
        <v>68.982321023940997</v>
      </c>
      <c r="N187" s="16">
        <v>1.6828894000000001</v>
      </c>
      <c r="P187" s="16">
        <v>1.9596</v>
      </c>
      <c r="Q187" s="25">
        <f t="shared" si="8"/>
        <v>0</v>
      </c>
      <c r="R187">
        <v>0</v>
      </c>
      <c r="S187" s="24">
        <v>0</v>
      </c>
      <c r="T187">
        <f>Q187/100</f>
        <v>0</v>
      </c>
      <c r="U187">
        <f>R187/100</f>
        <v>0</v>
      </c>
      <c r="V187">
        <f>S187/100</f>
        <v>0</v>
      </c>
    </row>
    <row r="188" spans="1:26" x14ac:dyDescent="0.25">
      <c r="A188" t="s">
        <v>19</v>
      </c>
      <c r="B188">
        <v>6</v>
      </c>
      <c r="C188">
        <v>1979</v>
      </c>
      <c r="D188" s="5">
        <v>30.3</v>
      </c>
      <c r="E188" s="5">
        <v>46.4</v>
      </c>
      <c r="F188" s="5">
        <f t="shared" si="7"/>
        <v>16.099999999999998</v>
      </c>
      <c r="G188" s="7">
        <v>1.1064674000000001</v>
      </c>
      <c r="H188" s="7">
        <v>5.4968877641626701</v>
      </c>
      <c r="I188" s="8">
        <v>25998.589091000002</v>
      </c>
      <c r="J188" s="12">
        <v>3.5499890000000001</v>
      </c>
      <c r="K188" s="7">
        <v>41.033625473996132</v>
      </c>
      <c r="L188" s="5">
        <v>0.68837136030197099</v>
      </c>
      <c r="M188" s="5">
        <v>68.837136030197101</v>
      </c>
      <c r="N188" s="16">
        <v>1.6731864000000001</v>
      </c>
      <c r="P188" s="16">
        <v>1.9419</v>
      </c>
      <c r="Q188" s="25">
        <f t="shared" si="8"/>
        <v>0.95882999999999996</v>
      </c>
      <c r="R188">
        <v>0</v>
      </c>
      <c r="S188" s="24">
        <v>0.95882999999999996</v>
      </c>
      <c r="T188">
        <f>Q188/100</f>
        <v>9.5882999999999993E-3</v>
      </c>
      <c r="U188">
        <f>R188/100</f>
        <v>0</v>
      </c>
      <c r="V188">
        <f>S188/100</f>
        <v>9.5882999999999993E-3</v>
      </c>
    </row>
    <row r="189" spans="1:26" x14ac:dyDescent="0.25">
      <c r="A189" t="s">
        <v>19</v>
      </c>
      <c r="B189">
        <v>6</v>
      </c>
      <c r="C189">
        <v>1980</v>
      </c>
      <c r="D189" s="5">
        <v>30.3</v>
      </c>
      <c r="E189" s="5">
        <v>46.5</v>
      </c>
      <c r="F189" s="5">
        <f t="shared" si="7"/>
        <v>16.2</v>
      </c>
      <c r="G189" s="7">
        <v>1.1356258000000001</v>
      </c>
      <c r="H189" s="7">
        <v>5.8810202550637669</v>
      </c>
      <c r="I189" s="8">
        <v>26273.062063000001</v>
      </c>
      <c r="J189" s="12">
        <v>1.5787450000000001</v>
      </c>
      <c r="K189" s="7">
        <v>43.502667286451072</v>
      </c>
      <c r="L189" s="5">
        <v>0.691270351409912</v>
      </c>
      <c r="M189" s="5">
        <v>69.127035140991197</v>
      </c>
      <c r="N189" s="16">
        <v>1.6874521</v>
      </c>
      <c r="P189" s="16">
        <v>1.9272</v>
      </c>
      <c r="Q189" s="25">
        <f t="shared" si="8"/>
        <v>0</v>
      </c>
      <c r="R189">
        <v>0</v>
      </c>
      <c r="S189" s="24">
        <v>0</v>
      </c>
      <c r="T189">
        <f>Q189/100</f>
        <v>0</v>
      </c>
      <c r="U189">
        <f>R189/100</f>
        <v>0</v>
      </c>
      <c r="V189">
        <f>S189/100</f>
        <v>0</v>
      </c>
    </row>
    <row r="190" spans="1:26" x14ac:dyDescent="0.25">
      <c r="A190" t="s">
        <v>19</v>
      </c>
      <c r="B190">
        <v>6</v>
      </c>
      <c r="C190">
        <v>1981</v>
      </c>
      <c r="D190" s="5">
        <v>30.2</v>
      </c>
      <c r="E190" s="5">
        <v>46.7</v>
      </c>
      <c r="F190" s="5">
        <f t="shared" si="7"/>
        <v>16.500000000000004</v>
      </c>
      <c r="G190" s="7">
        <v>1.1331439999999999</v>
      </c>
      <c r="H190" s="7">
        <v>6.9514962702939886</v>
      </c>
      <c r="I190" s="8">
        <v>26404.090737999999</v>
      </c>
      <c r="J190" s="12">
        <v>1.0690200000000001</v>
      </c>
      <c r="K190" s="7">
        <v>45.410943459121341</v>
      </c>
      <c r="L190" s="5">
        <v>0.68904125690460205</v>
      </c>
      <c r="M190" s="5">
        <v>68.904125690460205</v>
      </c>
      <c r="N190" s="16">
        <v>1.6667449000000001</v>
      </c>
      <c r="P190" s="16">
        <v>1.9341999999999999</v>
      </c>
      <c r="Q190" s="25">
        <f t="shared" si="8"/>
        <v>0</v>
      </c>
      <c r="R190">
        <v>0</v>
      </c>
      <c r="S190" s="24">
        <v>0</v>
      </c>
      <c r="T190">
        <f>Q190/100</f>
        <v>0</v>
      </c>
      <c r="U190">
        <f>R190/100</f>
        <v>0</v>
      </c>
      <c r="V190">
        <f>S190/100</f>
        <v>0</v>
      </c>
    </row>
    <row r="191" spans="1:26" x14ac:dyDescent="0.25">
      <c r="A191" t="s">
        <v>19</v>
      </c>
      <c r="B191">
        <v>6</v>
      </c>
      <c r="C191">
        <v>1982</v>
      </c>
      <c r="D191" s="5">
        <v>30.1</v>
      </c>
      <c r="E191" s="5">
        <v>46.9</v>
      </c>
      <c r="F191" s="5">
        <f t="shared" si="7"/>
        <v>16.799999999999997</v>
      </c>
      <c r="G191" s="7">
        <v>1.1197847999999999</v>
      </c>
      <c r="H191" s="7">
        <v>7.4575240499717061</v>
      </c>
      <c r="I191" s="8">
        <v>26903.141767000001</v>
      </c>
      <c r="J191" s="12">
        <v>2.5053969999999999</v>
      </c>
      <c r="K191" s="7">
        <v>45.252385283682798</v>
      </c>
      <c r="L191" s="5">
        <v>0.68997120857238803</v>
      </c>
      <c r="M191" s="5">
        <v>68.997120857238798</v>
      </c>
      <c r="N191" s="16">
        <v>1.6454806</v>
      </c>
      <c r="P191" s="16">
        <v>1.9415</v>
      </c>
      <c r="Q191" s="25">
        <f t="shared" si="8"/>
        <v>0</v>
      </c>
      <c r="R191">
        <v>0</v>
      </c>
      <c r="S191" s="24">
        <v>0</v>
      </c>
      <c r="T191">
        <f>Q191/100</f>
        <v>0</v>
      </c>
      <c r="U191">
        <f>R191/100</f>
        <v>0</v>
      </c>
      <c r="V191">
        <f>S191/100</f>
        <v>0</v>
      </c>
    </row>
    <row r="192" spans="1:26" x14ac:dyDescent="0.25">
      <c r="A192" t="s">
        <v>19</v>
      </c>
      <c r="B192">
        <v>6</v>
      </c>
      <c r="C192">
        <v>1983</v>
      </c>
      <c r="D192" s="5">
        <v>30.1</v>
      </c>
      <c r="E192" s="5">
        <v>47.1</v>
      </c>
      <c r="F192" s="5">
        <f t="shared" si="7"/>
        <v>17</v>
      </c>
      <c r="G192" s="7">
        <v>1.09459548</v>
      </c>
      <c r="H192" s="7">
        <v>7.8215175587099024</v>
      </c>
      <c r="I192" s="8">
        <v>27090.368425000001</v>
      </c>
      <c r="J192" s="12">
        <v>1.2408650000000001</v>
      </c>
      <c r="K192" s="7">
        <v>45.139828319846522</v>
      </c>
      <c r="L192" s="5">
        <v>0.68078589439392101</v>
      </c>
      <c r="M192" s="5">
        <v>68.078589439392104</v>
      </c>
      <c r="N192" s="16">
        <v>1.6187391</v>
      </c>
      <c r="P192" s="16">
        <v>1.9363999999999999</v>
      </c>
      <c r="Q192" s="25">
        <f t="shared" si="8"/>
        <v>0</v>
      </c>
      <c r="R192">
        <v>0</v>
      </c>
      <c r="S192" s="24">
        <v>0</v>
      </c>
      <c r="T192">
        <f>Q192/100</f>
        <v>0</v>
      </c>
      <c r="U192">
        <f>R192/100</f>
        <v>0</v>
      </c>
      <c r="V192">
        <f>S192/100</f>
        <v>0</v>
      </c>
    </row>
    <row r="193" spans="1:26" x14ac:dyDescent="0.25">
      <c r="A193" t="s">
        <v>19</v>
      </c>
      <c r="B193">
        <v>6</v>
      </c>
      <c r="C193">
        <v>1984</v>
      </c>
      <c r="D193" s="5">
        <v>30</v>
      </c>
      <c r="E193" s="5">
        <v>47.2</v>
      </c>
      <c r="F193" s="5">
        <f t="shared" si="7"/>
        <v>17.200000000000003</v>
      </c>
      <c r="G193" s="7">
        <v>1.07673803</v>
      </c>
      <c r="H193" s="7">
        <v>9.1158681470600946</v>
      </c>
      <c r="I193" s="8">
        <v>27366.794720000002</v>
      </c>
      <c r="J193" s="12">
        <v>1.513722</v>
      </c>
      <c r="K193" s="7">
        <v>47.541829908207575</v>
      </c>
      <c r="L193" s="5">
        <v>0.66813695430755604</v>
      </c>
      <c r="M193" s="5">
        <v>66.813695430755601</v>
      </c>
      <c r="N193" s="16">
        <v>1.6006298999999999</v>
      </c>
      <c r="P193" s="16">
        <v>1.9329000000000001</v>
      </c>
      <c r="Q193" s="25">
        <f t="shared" si="8"/>
        <v>0</v>
      </c>
      <c r="R193">
        <v>0</v>
      </c>
      <c r="S193" s="24">
        <v>0</v>
      </c>
      <c r="T193">
        <f>Q193/100</f>
        <v>0</v>
      </c>
      <c r="U193">
        <f>R193/100</f>
        <v>0</v>
      </c>
      <c r="V193">
        <f>S193/100</f>
        <v>0</v>
      </c>
    </row>
    <row r="194" spans="1:26" x14ac:dyDescent="0.25">
      <c r="A194" t="s">
        <v>19</v>
      </c>
      <c r="B194">
        <v>6</v>
      </c>
      <c r="C194">
        <v>1985</v>
      </c>
      <c r="D194" s="5">
        <v>29.9</v>
      </c>
      <c r="E194" s="5">
        <v>47.2</v>
      </c>
      <c r="F194" s="5">
        <f t="shared" ref="F194:F223" si="10">E194-D194</f>
        <v>17.300000000000004</v>
      </c>
      <c r="G194" s="7">
        <v>1.0583109900000001</v>
      </c>
      <c r="H194" s="7">
        <v>9.4045787118812338</v>
      </c>
      <c r="I194" s="8">
        <v>27672.488889</v>
      </c>
      <c r="J194" s="12">
        <v>1.622781</v>
      </c>
      <c r="K194" s="7">
        <v>47.016387990323203</v>
      </c>
      <c r="L194" s="5">
        <v>0.65942621231079102</v>
      </c>
      <c r="M194" s="5">
        <v>65.942621231079102</v>
      </c>
      <c r="N194" s="16">
        <v>1.6026505</v>
      </c>
      <c r="P194" s="16">
        <v>1.9455</v>
      </c>
      <c r="Q194" s="25">
        <f t="shared" si="8"/>
        <v>0</v>
      </c>
      <c r="R194">
        <v>0</v>
      </c>
      <c r="S194" s="24">
        <v>0</v>
      </c>
      <c r="T194">
        <f>Q194/100</f>
        <v>0</v>
      </c>
      <c r="U194">
        <f>R194/100</f>
        <v>0</v>
      </c>
      <c r="V194">
        <f>S194/100</f>
        <v>0</v>
      </c>
    </row>
    <row r="195" spans="1:26" x14ac:dyDescent="0.25">
      <c r="A195" t="s">
        <v>19</v>
      </c>
      <c r="B195">
        <v>6</v>
      </c>
      <c r="C195">
        <v>1986</v>
      </c>
      <c r="D195" s="5">
        <v>29.8</v>
      </c>
      <c r="E195" s="5">
        <v>47.2</v>
      </c>
      <c r="F195" s="5">
        <f t="shared" si="10"/>
        <v>17.400000000000002</v>
      </c>
      <c r="G195" s="7">
        <v>1.0253852699999999</v>
      </c>
      <c r="H195" s="7">
        <v>9.5324143022183314</v>
      </c>
      <c r="I195" s="8">
        <v>28175.072031</v>
      </c>
      <c r="J195" s="12">
        <v>2.3372760000000001</v>
      </c>
      <c r="K195" s="7">
        <v>40.887998467952215</v>
      </c>
      <c r="L195" s="5">
        <v>0.63900393247604403</v>
      </c>
      <c r="M195" s="5">
        <v>63.900393247604406</v>
      </c>
      <c r="N195" s="16">
        <v>1.6152013999999999</v>
      </c>
      <c r="P195" s="16">
        <v>1.9571000000000001</v>
      </c>
      <c r="Q195" s="25">
        <f t="shared" ref="Q195:Q258" si="11">R195+S195</f>
        <v>0</v>
      </c>
      <c r="R195">
        <v>0</v>
      </c>
      <c r="S195" s="24">
        <v>0</v>
      </c>
      <c r="T195">
        <f>Q195/100</f>
        <v>0</v>
      </c>
      <c r="U195">
        <f>R195/100</f>
        <v>0</v>
      </c>
      <c r="V195">
        <f>S195/100</f>
        <v>0</v>
      </c>
    </row>
    <row r="196" spans="1:26" x14ac:dyDescent="0.25">
      <c r="A196" t="s">
        <v>19</v>
      </c>
      <c r="B196">
        <v>6</v>
      </c>
      <c r="C196">
        <v>1987</v>
      </c>
      <c r="D196" s="5">
        <v>29.8</v>
      </c>
      <c r="E196" s="5">
        <v>47.2</v>
      </c>
      <c r="F196" s="5">
        <f t="shared" si="10"/>
        <v>17.400000000000002</v>
      </c>
      <c r="G196" s="7">
        <v>1.0328889800000001</v>
      </c>
      <c r="H196" s="7">
        <v>9.6342478309391737</v>
      </c>
      <c r="I196" s="8">
        <v>28740.452574999999</v>
      </c>
      <c r="J196" s="12">
        <v>2.5619000000000001</v>
      </c>
      <c r="K196" s="7">
        <v>40.292739458610747</v>
      </c>
      <c r="L196" s="5">
        <v>0.63356786966323897</v>
      </c>
      <c r="M196" s="5">
        <v>63.356786966323895</v>
      </c>
      <c r="N196" s="16">
        <v>1.6160243999999999</v>
      </c>
      <c r="P196" s="16">
        <v>1.9691000000000001</v>
      </c>
      <c r="Q196" s="25">
        <f t="shared" si="11"/>
        <v>0.22509000000000001</v>
      </c>
      <c r="R196">
        <v>0.75017</v>
      </c>
      <c r="S196" s="24">
        <v>-0.52507999999999999</v>
      </c>
      <c r="T196">
        <f>Q196/100</f>
        <v>2.2509000000000001E-3</v>
      </c>
      <c r="U196">
        <f>R196/100</f>
        <v>7.5017E-3</v>
      </c>
      <c r="V196">
        <f>S196/100</f>
        <v>-5.2507999999999999E-3</v>
      </c>
    </row>
    <row r="197" spans="1:26" x14ac:dyDescent="0.25">
      <c r="A197" t="s">
        <v>19</v>
      </c>
      <c r="B197">
        <v>6</v>
      </c>
      <c r="C197">
        <v>1988</v>
      </c>
      <c r="D197" s="5">
        <v>29.7</v>
      </c>
      <c r="E197" s="5">
        <v>47.2</v>
      </c>
      <c r="F197" s="5">
        <f t="shared" si="10"/>
        <v>17.500000000000004</v>
      </c>
      <c r="G197" s="7">
        <v>1.02700817</v>
      </c>
      <c r="H197" s="7">
        <v>9.1654029476510921</v>
      </c>
      <c r="I197" s="8">
        <v>29930.643601</v>
      </c>
      <c r="J197" s="12">
        <v>4.7431419999999997</v>
      </c>
      <c r="K197" s="7">
        <v>41.392216944169732</v>
      </c>
      <c r="L197" s="5">
        <v>0.61851698160171498</v>
      </c>
      <c r="M197" s="5">
        <v>61.851698160171495</v>
      </c>
      <c r="N197" s="16">
        <v>1.6375853</v>
      </c>
      <c r="P197" s="16">
        <v>1.9694</v>
      </c>
      <c r="Q197" s="25">
        <f t="shared" si="11"/>
        <v>0</v>
      </c>
      <c r="R197">
        <v>0</v>
      </c>
      <c r="S197" s="24">
        <v>0</v>
      </c>
      <c r="T197">
        <f>Q197/100</f>
        <v>0</v>
      </c>
      <c r="U197">
        <f>R197/100</f>
        <v>0</v>
      </c>
      <c r="V197">
        <f>S197/100</f>
        <v>0</v>
      </c>
    </row>
    <row r="198" spans="1:26" x14ac:dyDescent="0.25">
      <c r="A198" t="s">
        <v>19</v>
      </c>
      <c r="B198">
        <v>6</v>
      </c>
      <c r="C198">
        <v>1989</v>
      </c>
      <c r="D198" s="5">
        <v>29.6</v>
      </c>
      <c r="E198" s="5">
        <v>47.2</v>
      </c>
      <c r="F198" s="5">
        <f t="shared" si="10"/>
        <v>17.600000000000001</v>
      </c>
      <c r="G198" s="7">
        <v>1.0349830200000001</v>
      </c>
      <c r="H198" s="7">
        <v>8.5873539056587909</v>
      </c>
      <c r="I198" s="8">
        <v>31045.360071999999</v>
      </c>
      <c r="J198" s="12">
        <v>4.3438610000000004</v>
      </c>
      <c r="K198" s="7">
        <v>44.001781127867126</v>
      </c>
      <c r="L198" s="5">
        <v>0.61202800273895297</v>
      </c>
      <c r="M198" s="5">
        <v>61.202800273895299</v>
      </c>
      <c r="N198" s="16">
        <v>1.6460124</v>
      </c>
      <c r="P198" s="16">
        <v>1.9853000000000001</v>
      </c>
      <c r="Q198" s="25">
        <f t="shared" si="11"/>
        <v>-0.19849</v>
      </c>
      <c r="R198">
        <v>-4.6600000000000001E-3</v>
      </c>
      <c r="S198" s="24">
        <v>-0.19383</v>
      </c>
      <c r="T198">
        <f>Q198/100</f>
        <v>-1.9848999999999999E-3</v>
      </c>
      <c r="U198">
        <f>R198/100</f>
        <v>-4.6600000000000001E-5</v>
      </c>
      <c r="V198">
        <f>S198/100</f>
        <v>-1.9383E-3</v>
      </c>
    </row>
    <row r="199" spans="1:26" x14ac:dyDescent="0.25">
      <c r="A199" t="s">
        <v>19</v>
      </c>
      <c r="B199">
        <v>6</v>
      </c>
      <c r="C199">
        <v>1990</v>
      </c>
      <c r="D199" s="5">
        <v>29.1</v>
      </c>
      <c r="E199" s="5">
        <v>46.9</v>
      </c>
      <c r="F199" s="5">
        <f t="shared" si="10"/>
        <v>17.799999999999997</v>
      </c>
      <c r="G199" s="7">
        <v>1.03194282</v>
      </c>
      <c r="H199" s="7">
        <v>7.7632801222756287</v>
      </c>
      <c r="I199" s="8">
        <v>31778.684953</v>
      </c>
      <c r="J199" s="12">
        <v>2.9239350000000002</v>
      </c>
      <c r="K199" s="7">
        <v>42.736055188857442</v>
      </c>
      <c r="L199" s="5">
        <v>0.61757051944732699</v>
      </c>
      <c r="M199" s="5">
        <v>61.757051944732702</v>
      </c>
      <c r="N199" s="16">
        <v>1.6428707</v>
      </c>
      <c r="P199" s="16">
        <v>1.986</v>
      </c>
      <c r="Q199" s="25">
        <f t="shared" si="11"/>
        <v>0</v>
      </c>
      <c r="R199">
        <v>0</v>
      </c>
      <c r="S199" s="24">
        <v>0</v>
      </c>
      <c r="T199">
        <f>Q199/100</f>
        <v>0</v>
      </c>
      <c r="U199">
        <f>R199/100</f>
        <v>0</v>
      </c>
      <c r="V199">
        <f>S199/100</f>
        <v>0</v>
      </c>
    </row>
    <row r="200" spans="1:26" x14ac:dyDescent="0.25">
      <c r="A200" t="s">
        <v>19</v>
      </c>
      <c r="B200">
        <v>6</v>
      </c>
      <c r="C200">
        <v>1991</v>
      </c>
      <c r="D200" s="5">
        <v>29</v>
      </c>
      <c r="E200" s="5">
        <v>47.1</v>
      </c>
      <c r="F200" s="5">
        <f t="shared" si="10"/>
        <v>18.100000000000001</v>
      </c>
      <c r="G200" s="7">
        <v>1.0321340699999999</v>
      </c>
      <c r="H200" s="7">
        <v>8.245360276734738</v>
      </c>
      <c r="I200" s="8">
        <v>31951.628407</v>
      </c>
      <c r="J200" s="12">
        <v>1.048176</v>
      </c>
      <c r="K200" s="7">
        <v>42.983681489046951</v>
      </c>
      <c r="L200" s="5">
        <v>0.61892634630203203</v>
      </c>
      <c r="M200" s="5">
        <v>61.892634630203204</v>
      </c>
      <c r="N200" s="16">
        <v>1.6399912000000001</v>
      </c>
      <c r="P200" s="16">
        <v>1.9871000000000001</v>
      </c>
      <c r="Q200" s="25">
        <f t="shared" si="11"/>
        <v>0.30521999999999999</v>
      </c>
      <c r="R200">
        <v>0.21884000000000001</v>
      </c>
      <c r="S200" s="24">
        <v>8.6379999999999998E-2</v>
      </c>
      <c r="T200">
        <f>Q200/100</f>
        <v>3.0521999999999997E-3</v>
      </c>
      <c r="U200">
        <f>R200/100</f>
        <v>2.1884000000000001E-3</v>
      </c>
      <c r="V200">
        <f>S200/100</f>
        <v>8.6379999999999996E-4</v>
      </c>
    </row>
    <row r="201" spans="1:26" x14ac:dyDescent="0.25">
      <c r="A201" t="s">
        <v>19</v>
      </c>
      <c r="B201">
        <v>6</v>
      </c>
      <c r="C201">
        <v>1992</v>
      </c>
      <c r="D201" s="5">
        <v>28.9</v>
      </c>
      <c r="E201" s="5">
        <v>47.3</v>
      </c>
      <c r="F201" s="5">
        <f t="shared" si="10"/>
        <v>18.399999999999999</v>
      </c>
      <c r="G201" s="7">
        <v>1.0236376</v>
      </c>
      <c r="H201" s="7">
        <v>9.0131840343884981</v>
      </c>
      <c r="I201" s="8">
        <v>32301.544981999999</v>
      </c>
      <c r="J201" s="12">
        <v>1.599343</v>
      </c>
      <c r="K201" s="7">
        <v>41.991612606025022</v>
      </c>
      <c r="L201" s="5">
        <v>0.61742240190506004</v>
      </c>
      <c r="M201" s="5">
        <v>61.742240190506003</v>
      </c>
      <c r="N201" s="16">
        <v>1.6385791000000001</v>
      </c>
      <c r="P201" s="16">
        <v>1.9712000000000001</v>
      </c>
      <c r="Q201" s="25">
        <f t="shared" si="11"/>
        <v>-5.7590000000000002E-2</v>
      </c>
      <c r="R201">
        <v>0</v>
      </c>
      <c r="S201" s="24">
        <v>-5.7590000000000002E-2</v>
      </c>
      <c r="T201">
        <f>Q201/100</f>
        <v>-5.7590000000000007E-4</v>
      </c>
      <c r="U201">
        <f>R201/100</f>
        <v>0</v>
      </c>
      <c r="V201">
        <f>S201/100</f>
        <v>-5.7590000000000007E-4</v>
      </c>
    </row>
    <row r="202" spans="1:26" x14ac:dyDescent="0.25">
      <c r="A202" t="s">
        <v>19</v>
      </c>
      <c r="B202">
        <v>6</v>
      </c>
      <c r="C202">
        <v>1993</v>
      </c>
      <c r="D202" s="5">
        <v>28.8</v>
      </c>
      <c r="E202" s="5">
        <v>47.5</v>
      </c>
      <c r="F202" s="5">
        <f t="shared" si="10"/>
        <v>18.7</v>
      </c>
      <c r="G202" s="7">
        <v>1.02104463</v>
      </c>
      <c r="H202" s="7">
        <v>10.212075585934388</v>
      </c>
      <c r="I202" s="8">
        <v>31959.968351</v>
      </c>
      <c r="J202" s="12">
        <v>-0.62866599999999995</v>
      </c>
      <c r="K202" s="7">
        <v>39.905123721783809</v>
      </c>
      <c r="L202" s="5">
        <v>0.61931926012039196</v>
      </c>
      <c r="M202" s="5">
        <v>61.931926012039199</v>
      </c>
      <c r="N202" s="16">
        <v>1.6438332</v>
      </c>
      <c r="P202" s="16">
        <v>1.9539</v>
      </c>
      <c r="Q202" s="25">
        <f t="shared" si="11"/>
        <v>0</v>
      </c>
      <c r="R202">
        <v>0</v>
      </c>
      <c r="S202" s="24">
        <v>0</v>
      </c>
      <c r="T202">
        <f>Q202/100</f>
        <v>0</v>
      </c>
      <c r="U202">
        <f>R202/100</f>
        <v>0</v>
      </c>
      <c r="V202">
        <f>S202/100</f>
        <v>0</v>
      </c>
    </row>
    <row r="203" spans="1:26" x14ac:dyDescent="0.25">
      <c r="A203" t="s">
        <v>19</v>
      </c>
      <c r="B203">
        <v>6</v>
      </c>
      <c r="C203">
        <v>1994</v>
      </c>
      <c r="D203" s="5">
        <v>28.7</v>
      </c>
      <c r="E203" s="5">
        <v>47.8</v>
      </c>
      <c r="F203" s="5">
        <f t="shared" si="10"/>
        <v>19.099999999999998</v>
      </c>
      <c r="G203" s="7">
        <v>1.0165551500000001</v>
      </c>
      <c r="H203" s="7">
        <v>10.63096660893204</v>
      </c>
      <c r="I203" s="8">
        <v>32592.358315000001</v>
      </c>
      <c r="J203" s="12">
        <v>2.3583419999999999</v>
      </c>
      <c r="K203" s="7">
        <v>41.826239737190718</v>
      </c>
      <c r="L203" s="5">
        <v>0.61722809076309204</v>
      </c>
      <c r="M203" s="5">
        <v>61.722809076309204</v>
      </c>
      <c r="N203" s="16">
        <v>1.5945814</v>
      </c>
      <c r="P203" s="16">
        <v>1.9345000000000001</v>
      </c>
      <c r="Q203" s="25">
        <f t="shared" si="11"/>
        <v>0</v>
      </c>
      <c r="R203">
        <v>0</v>
      </c>
      <c r="S203" s="24">
        <v>0</v>
      </c>
      <c r="T203">
        <f>Q203/100</f>
        <v>0</v>
      </c>
      <c r="U203">
        <f>R203/100</f>
        <v>0</v>
      </c>
      <c r="V203">
        <f>S203/100</f>
        <v>0</v>
      </c>
    </row>
    <row r="204" spans="1:26" x14ac:dyDescent="0.25">
      <c r="A204" t="s">
        <v>19</v>
      </c>
      <c r="B204">
        <v>6</v>
      </c>
      <c r="C204">
        <v>1995</v>
      </c>
      <c r="D204" s="5">
        <v>28.7</v>
      </c>
      <c r="E204" s="5">
        <v>48</v>
      </c>
      <c r="F204" s="5">
        <f t="shared" si="10"/>
        <v>19.3</v>
      </c>
      <c r="G204" s="7">
        <v>1.0179648100000001</v>
      </c>
      <c r="H204" s="7">
        <v>10.057475797381056</v>
      </c>
      <c r="I204" s="8">
        <v>33158.788799000002</v>
      </c>
      <c r="J204" s="12">
        <v>2.1066950000000002</v>
      </c>
      <c r="K204" s="7">
        <v>43.646128577092327</v>
      </c>
      <c r="L204" s="5">
        <v>0.62015771865844704</v>
      </c>
      <c r="M204" s="5">
        <v>62.015771865844705</v>
      </c>
      <c r="N204" s="16">
        <v>1.5927925000000001</v>
      </c>
      <c r="O204" s="20">
        <v>3.1210000999999998</v>
      </c>
      <c r="P204" s="16">
        <v>1.9326000000000001</v>
      </c>
      <c r="Q204" s="25">
        <f t="shared" si="11"/>
        <v>0.27110000000000001</v>
      </c>
      <c r="R204">
        <v>-0.11829999999999996</v>
      </c>
      <c r="S204" s="24">
        <v>0.38939999999999997</v>
      </c>
      <c r="T204">
        <f>Q204/100</f>
        <v>2.7109999999999999E-3</v>
      </c>
      <c r="U204">
        <f>R204/100</f>
        <v>-1.1829999999999996E-3</v>
      </c>
      <c r="V204">
        <f>S204/100</f>
        <v>3.8939999999999999E-3</v>
      </c>
    </row>
    <row r="205" spans="1:26" x14ac:dyDescent="0.25">
      <c r="A205" t="s">
        <v>19</v>
      </c>
      <c r="B205">
        <v>6</v>
      </c>
      <c r="C205">
        <v>1996</v>
      </c>
      <c r="D205" s="5">
        <v>28.6</v>
      </c>
      <c r="E205" s="5">
        <v>48.1</v>
      </c>
      <c r="F205" s="5">
        <f t="shared" si="10"/>
        <v>19.5</v>
      </c>
      <c r="G205" s="7">
        <v>1.01982884</v>
      </c>
      <c r="H205" s="7">
        <v>10.602894422001455</v>
      </c>
      <c r="I205" s="8">
        <v>33507.990742000002</v>
      </c>
      <c r="J205" s="12">
        <v>1.4129940000000001</v>
      </c>
      <c r="K205" s="7">
        <v>44.329239953811729</v>
      </c>
      <c r="L205" s="5">
        <v>0.62336277961731001</v>
      </c>
      <c r="M205" s="5">
        <v>62.336277961731</v>
      </c>
      <c r="N205" s="16">
        <v>1.5991428000000001</v>
      </c>
      <c r="O205" s="20">
        <v>3.1159998999999998</v>
      </c>
      <c r="P205" s="16">
        <v>1.9321999999999999</v>
      </c>
      <c r="Q205" s="25">
        <f t="shared" si="11"/>
        <v>1.32406</v>
      </c>
      <c r="R205">
        <v>0.40122999999999998</v>
      </c>
      <c r="S205" s="24">
        <v>0.92283000000000004</v>
      </c>
      <c r="T205">
        <f>Q205/100</f>
        <v>1.32406E-2</v>
      </c>
      <c r="U205">
        <f>R205/100</f>
        <v>4.0122999999999999E-3</v>
      </c>
      <c r="V205">
        <f>S205/100</f>
        <v>9.2283E-3</v>
      </c>
      <c r="W205">
        <v>0.75034999999999996</v>
      </c>
      <c r="X205">
        <v>0.38900000000000001</v>
      </c>
      <c r="Y205">
        <v>0.38900000000000001</v>
      </c>
      <c r="Z205" s="5">
        <f>Y205*100</f>
        <v>38.9</v>
      </c>
    </row>
    <row r="206" spans="1:26" x14ac:dyDescent="0.25">
      <c r="A206" t="s">
        <v>19</v>
      </c>
      <c r="B206">
        <v>6</v>
      </c>
      <c r="C206">
        <v>1997</v>
      </c>
      <c r="D206" s="5">
        <v>28.5</v>
      </c>
      <c r="E206" s="5">
        <v>48.5</v>
      </c>
      <c r="F206" s="5">
        <f t="shared" si="10"/>
        <v>20</v>
      </c>
      <c r="G206" s="7">
        <v>1.01203943</v>
      </c>
      <c r="H206" s="7">
        <v>10.671931382512568</v>
      </c>
      <c r="I206" s="8">
        <v>34169.012918</v>
      </c>
      <c r="J206" s="12">
        <v>2.3362959999999999</v>
      </c>
      <c r="K206" s="7">
        <v>48.033496883066448</v>
      </c>
      <c r="L206" s="5">
        <v>0.61702024936676003</v>
      </c>
      <c r="M206" s="5">
        <v>61.702024936676004</v>
      </c>
      <c r="N206" s="16">
        <v>1.5925007</v>
      </c>
      <c r="O206" s="20">
        <v>3.0769999000000001</v>
      </c>
      <c r="P206" s="16">
        <v>1.9240999999999999</v>
      </c>
      <c r="Q206" s="25">
        <f t="shared" si="11"/>
        <v>0.60403000000000007</v>
      </c>
      <c r="R206">
        <v>0.21024999999999999</v>
      </c>
      <c r="S206" s="24">
        <v>0.39378000000000002</v>
      </c>
      <c r="T206">
        <f>Q206/100</f>
        <v>6.0403000000000011E-3</v>
      </c>
      <c r="U206">
        <f>R206/100</f>
        <v>2.1024999999999998E-3</v>
      </c>
      <c r="V206">
        <f>S206/100</f>
        <v>3.9378E-3</v>
      </c>
      <c r="W206">
        <v>0.75148000000000004</v>
      </c>
      <c r="X206">
        <v>0.38900000000000001</v>
      </c>
      <c r="Y206">
        <v>0.38900000000000001</v>
      </c>
      <c r="Z206" s="5">
        <f t="shared" ref="Z206:Z223" si="12">Y206*100</f>
        <v>38.9</v>
      </c>
    </row>
    <row r="207" spans="1:26" x14ac:dyDescent="0.25">
      <c r="A207" t="s">
        <v>19</v>
      </c>
      <c r="B207">
        <v>6</v>
      </c>
      <c r="C207">
        <v>1998</v>
      </c>
      <c r="D207" s="5">
        <v>28.4</v>
      </c>
      <c r="E207" s="5">
        <v>49.2</v>
      </c>
      <c r="F207" s="5">
        <f t="shared" si="10"/>
        <v>20.800000000000004</v>
      </c>
      <c r="G207" s="7">
        <v>1.006511269</v>
      </c>
      <c r="H207" s="7">
        <v>10.179050730592538</v>
      </c>
      <c r="I207" s="8">
        <v>35265.231329000002</v>
      </c>
      <c r="J207" s="12">
        <v>3.5886589999999998</v>
      </c>
      <c r="K207" s="7">
        <v>49.506766792711865</v>
      </c>
      <c r="L207" s="5">
        <v>0.612329661846161</v>
      </c>
      <c r="M207" s="5">
        <v>61.232966184616103</v>
      </c>
      <c r="N207" s="16">
        <v>1.5832204000000001</v>
      </c>
      <c r="O207" s="20">
        <v>3.0409999000000001</v>
      </c>
      <c r="P207" s="16">
        <v>1.9244000000000001</v>
      </c>
      <c r="Q207" s="25">
        <f t="shared" si="11"/>
        <v>0</v>
      </c>
      <c r="R207">
        <v>0</v>
      </c>
      <c r="S207" s="24">
        <v>0</v>
      </c>
      <c r="T207">
        <f>Q207/100</f>
        <v>0</v>
      </c>
      <c r="U207">
        <f>R207/100</f>
        <v>0</v>
      </c>
      <c r="V207">
        <f>S207/100</f>
        <v>0</v>
      </c>
      <c r="W207">
        <v>0.75412000000000001</v>
      </c>
      <c r="X207">
        <v>0.38300000000000001</v>
      </c>
      <c r="Y207">
        <v>0.38300000000000001</v>
      </c>
      <c r="Z207" s="5">
        <f t="shared" si="12"/>
        <v>38.299999999999997</v>
      </c>
    </row>
    <row r="208" spans="1:26" x14ac:dyDescent="0.25">
      <c r="A208" t="s">
        <v>19</v>
      </c>
      <c r="B208">
        <v>6</v>
      </c>
      <c r="C208">
        <v>1999</v>
      </c>
      <c r="D208" s="5">
        <v>29</v>
      </c>
      <c r="E208" s="5">
        <v>49.3</v>
      </c>
      <c r="F208" s="5">
        <f t="shared" si="10"/>
        <v>20.299999999999997</v>
      </c>
      <c r="G208" s="7">
        <v>1.005371416</v>
      </c>
      <c r="H208" s="7">
        <v>9.7969093238782499</v>
      </c>
      <c r="I208" s="8">
        <v>36284.263357000003</v>
      </c>
      <c r="J208" s="12">
        <v>3.4213740000000001</v>
      </c>
      <c r="K208" s="7">
        <v>49.760920600228836</v>
      </c>
      <c r="L208" s="5">
        <v>0.61858904361724898</v>
      </c>
      <c r="M208" s="5">
        <v>61.858904361724896</v>
      </c>
      <c r="N208" s="16">
        <v>1.5945</v>
      </c>
      <c r="O208" s="20">
        <v>3.0619999999999998</v>
      </c>
      <c r="P208" s="16">
        <v>1.9420999999999999</v>
      </c>
      <c r="Q208" s="25">
        <f t="shared" si="11"/>
        <v>-9.6839999999999996E-2</v>
      </c>
      <c r="R208">
        <v>0</v>
      </c>
      <c r="S208" s="24">
        <v>-9.6839999999999996E-2</v>
      </c>
      <c r="T208">
        <f>Q208/100</f>
        <v>-9.683999999999999E-4</v>
      </c>
      <c r="U208">
        <f>R208/100</f>
        <v>0</v>
      </c>
      <c r="V208">
        <f>S208/100</f>
        <v>-9.683999999999999E-4</v>
      </c>
      <c r="W208">
        <v>0.75127999999999995</v>
      </c>
      <c r="X208">
        <v>0.38500000000000001</v>
      </c>
      <c r="Y208">
        <v>0.38500000000000001</v>
      </c>
      <c r="Z208" s="5">
        <f t="shared" si="12"/>
        <v>38.5</v>
      </c>
    </row>
    <row r="209" spans="1:26" x14ac:dyDescent="0.25">
      <c r="A209" t="s">
        <v>19</v>
      </c>
      <c r="B209">
        <v>6</v>
      </c>
      <c r="C209">
        <v>2000</v>
      </c>
      <c r="D209" s="5">
        <v>29.3</v>
      </c>
      <c r="E209" s="5">
        <v>49.3</v>
      </c>
      <c r="F209" s="5">
        <f t="shared" si="10"/>
        <v>19.999999999999996</v>
      </c>
      <c r="G209" s="7">
        <v>1.0167596000000001</v>
      </c>
      <c r="H209" s="7">
        <v>8.3660871186545798</v>
      </c>
      <c r="I209" s="8">
        <v>37450.372479999998</v>
      </c>
      <c r="J209" s="12">
        <v>3.9236689999999999</v>
      </c>
      <c r="K209" s="7">
        <v>55.861245718034468</v>
      </c>
      <c r="L209" s="5">
        <v>0.61542105674743697</v>
      </c>
      <c r="M209" s="5">
        <v>61.542105674743695</v>
      </c>
      <c r="N209" s="16">
        <v>1.5291937</v>
      </c>
      <c r="O209" s="20">
        <v>3.0819999999999999</v>
      </c>
      <c r="P209" s="16">
        <v>1.9521999999999999</v>
      </c>
      <c r="Q209" s="25">
        <f t="shared" si="11"/>
        <v>-0.19367999999999999</v>
      </c>
      <c r="R209">
        <v>0</v>
      </c>
      <c r="S209" s="24">
        <v>-0.19367999999999999</v>
      </c>
      <c r="T209">
        <f>Q209/100</f>
        <v>-1.9367999999999998E-3</v>
      </c>
      <c r="U209">
        <f>R209/100</f>
        <v>0</v>
      </c>
      <c r="V209">
        <f>S209/100</f>
        <v>-1.9367999999999998E-3</v>
      </c>
      <c r="W209">
        <v>0.74602000000000002</v>
      </c>
      <c r="X209">
        <v>0.38500000000000001</v>
      </c>
      <c r="Y209">
        <v>0.38500000000000001</v>
      </c>
      <c r="Z209" s="5">
        <f t="shared" si="12"/>
        <v>38.5</v>
      </c>
    </row>
    <row r="210" spans="1:26" x14ac:dyDescent="0.25">
      <c r="A210" t="s">
        <v>19</v>
      </c>
      <c r="B210">
        <v>6</v>
      </c>
      <c r="C210">
        <v>2001</v>
      </c>
      <c r="D210" s="5">
        <v>29.2</v>
      </c>
      <c r="E210" s="5">
        <v>48.8</v>
      </c>
      <c r="F210" s="5">
        <f t="shared" si="10"/>
        <v>19.599999999999998</v>
      </c>
      <c r="G210" s="7">
        <v>1.0163478100000001</v>
      </c>
      <c r="H210" s="7">
        <v>7.564750940857234</v>
      </c>
      <c r="I210" s="8">
        <v>37916.240904999999</v>
      </c>
      <c r="J210" s="12">
        <v>1.9837210000000001</v>
      </c>
      <c r="K210" s="7">
        <v>54.95936809257573</v>
      </c>
      <c r="L210" s="5">
        <v>0.61707258224487305</v>
      </c>
      <c r="M210" s="5">
        <v>61.707258224487305</v>
      </c>
      <c r="N210" s="16">
        <v>1.4953019999999999</v>
      </c>
      <c r="O210" s="20">
        <v>3.0590000000000002</v>
      </c>
      <c r="P210" s="16">
        <v>1.9715</v>
      </c>
      <c r="Q210" s="25">
        <f t="shared" si="11"/>
        <v>0</v>
      </c>
      <c r="R210">
        <v>0</v>
      </c>
      <c r="S210" s="24">
        <v>0</v>
      </c>
      <c r="T210">
        <f>Q210/100</f>
        <v>0</v>
      </c>
      <c r="U210">
        <f>R210/100</f>
        <v>0</v>
      </c>
      <c r="V210">
        <f>S210/100</f>
        <v>0</v>
      </c>
      <c r="W210">
        <v>0.74187000000000003</v>
      </c>
      <c r="X210">
        <v>0.379</v>
      </c>
      <c r="Y210">
        <v>0.379</v>
      </c>
      <c r="Z210" s="5">
        <f t="shared" si="12"/>
        <v>37.9</v>
      </c>
    </row>
    <row r="211" spans="1:26" x14ac:dyDescent="0.25">
      <c r="A211" t="s">
        <v>19</v>
      </c>
      <c r="B211">
        <v>6</v>
      </c>
      <c r="C211">
        <v>2002</v>
      </c>
      <c r="D211" s="5">
        <v>29</v>
      </c>
      <c r="E211" s="5">
        <v>48.2</v>
      </c>
      <c r="F211" s="5">
        <f t="shared" si="10"/>
        <v>19.200000000000003</v>
      </c>
      <c r="G211" s="7">
        <v>1.0192341199999999</v>
      </c>
      <c r="H211" s="7">
        <v>7.7179402366957115</v>
      </c>
      <c r="I211" s="8">
        <v>38068.790550999998</v>
      </c>
      <c r="J211" s="12">
        <v>1.1355310000000001</v>
      </c>
      <c r="K211" s="7">
        <v>53.072024758333548</v>
      </c>
      <c r="L211" s="5">
        <v>0.62155622243881203</v>
      </c>
      <c r="M211" s="5">
        <v>62.155622243881204</v>
      </c>
      <c r="N211" s="16">
        <v>1.4814202999999999</v>
      </c>
      <c r="O211" s="20">
        <v>3.0289999999999999</v>
      </c>
      <c r="P211" s="16">
        <v>1.968</v>
      </c>
      <c r="Q211" s="25">
        <f t="shared" si="11"/>
        <v>0</v>
      </c>
      <c r="R211">
        <v>0</v>
      </c>
      <c r="S211" s="24">
        <v>0</v>
      </c>
      <c r="T211">
        <f>Q211/100</f>
        <v>0</v>
      </c>
      <c r="U211">
        <f>R211/100</f>
        <v>0</v>
      </c>
      <c r="V211">
        <f>S211/100</f>
        <v>0</v>
      </c>
      <c r="W211">
        <v>0.72763999999999995</v>
      </c>
      <c r="X211">
        <v>0.38100000000000001</v>
      </c>
      <c r="Y211">
        <v>0.38100000000000001</v>
      </c>
      <c r="Z211" s="5">
        <f t="shared" si="12"/>
        <v>38.1</v>
      </c>
    </row>
    <row r="212" spans="1:26" x14ac:dyDescent="0.25">
      <c r="A212" t="s">
        <v>19</v>
      </c>
      <c r="B212">
        <v>6</v>
      </c>
      <c r="C212">
        <v>2003</v>
      </c>
      <c r="D212" s="5">
        <v>28.9</v>
      </c>
      <c r="E212" s="5">
        <v>48.2</v>
      </c>
      <c r="F212" s="5">
        <f t="shared" si="10"/>
        <v>19.300000000000004</v>
      </c>
      <c r="G212" s="7">
        <v>1.02098472</v>
      </c>
      <c r="H212" s="7">
        <v>8.0996185942110976</v>
      </c>
      <c r="I212" s="8">
        <v>38111.413672000002</v>
      </c>
      <c r="J212" s="12">
        <v>0.82316100000000003</v>
      </c>
      <c r="K212" s="7">
        <v>50.79783352323529</v>
      </c>
      <c r="L212" s="5">
        <v>0.62175071239471402</v>
      </c>
      <c r="M212" s="5">
        <v>62.1750712394714</v>
      </c>
      <c r="N212" s="16">
        <v>1.4898671999999999</v>
      </c>
      <c r="O212" s="20">
        <v>3.0250001000000002</v>
      </c>
      <c r="P212" s="16">
        <v>1.9699</v>
      </c>
      <c r="Q212" s="25">
        <f t="shared" si="11"/>
        <v>0</v>
      </c>
      <c r="R212">
        <v>0</v>
      </c>
      <c r="S212" s="24">
        <v>0</v>
      </c>
      <c r="T212">
        <f>Q212/100</f>
        <v>0</v>
      </c>
      <c r="U212">
        <f>R212/100</f>
        <v>0</v>
      </c>
      <c r="V212">
        <f>S212/100</f>
        <v>0</v>
      </c>
      <c r="W212">
        <v>0.72857000000000005</v>
      </c>
      <c r="X212">
        <v>0.379</v>
      </c>
      <c r="Y212">
        <v>0.379</v>
      </c>
      <c r="Z212" s="5">
        <f t="shared" si="12"/>
        <v>37.9</v>
      </c>
    </row>
    <row r="213" spans="1:26" x14ac:dyDescent="0.25">
      <c r="A213" t="s">
        <v>19</v>
      </c>
      <c r="B213">
        <v>6</v>
      </c>
      <c r="C213">
        <v>2004</v>
      </c>
      <c r="D213" s="5">
        <v>29</v>
      </c>
      <c r="E213" s="5">
        <v>48.4</v>
      </c>
      <c r="F213" s="5">
        <f t="shared" si="10"/>
        <v>19.399999999999999</v>
      </c>
      <c r="G213" s="7">
        <v>1.0214209000000001</v>
      </c>
      <c r="H213" s="7">
        <v>8.4680256486981378</v>
      </c>
      <c r="I213" s="8">
        <v>38902.332179999998</v>
      </c>
      <c r="J213" s="12">
        <v>2.8297530000000002</v>
      </c>
      <c r="K213" s="7">
        <v>51.925007878433284</v>
      </c>
      <c r="L213" s="5">
        <v>0.61643612384796098</v>
      </c>
      <c r="M213" s="5">
        <v>61.6436123847961</v>
      </c>
      <c r="N213" s="16">
        <v>1.4767315999999999</v>
      </c>
      <c r="O213" s="20">
        <v>2.9909998999999998</v>
      </c>
      <c r="P213" s="16">
        <v>1.9688000000000001</v>
      </c>
      <c r="Q213" s="25">
        <f t="shared" si="11"/>
        <v>0</v>
      </c>
      <c r="R213">
        <v>0</v>
      </c>
      <c r="S213" s="24">
        <v>0</v>
      </c>
      <c r="T213">
        <f>Q213/100</f>
        <v>0</v>
      </c>
      <c r="U213">
        <f>R213/100</f>
        <v>0</v>
      </c>
      <c r="V213">
        <f>S213/100</f>
        <v>0</v>
      </c>
      <c r="W213">
        <v>0.72874000000000005</v>
      </c>
      <c r="X213">
        <v>0.38</v>
      </c>
      <c r="Y213">
        <v>0.38</v>
      </c>
      <c r="Z213" s="5">
        <f t="shared" si="12"/>
        <v>38</v>
      </c>
    </row>
    <row r="214" spans="1:26" x14ac:dyDescent="0.25">
      <c r="A214" t="s">
        <v>19</v>
      </c>
      <c r="B214">
        <v>6</v>
      </c>
      <c r="C214">
        <v>2005</v>
      </c>
      <c r="D214" s="5">
        <v>29.4</v>
      </c>
      <c r="E214" s="5">
        <v>48.7</v>
      </c>
      <c r="F214" s="5">
        <f t="shared" si="10"/>
        <v>19.300000000000004</v>
      </c>
      <c r="G214" s="7">
        <v>1.01745869</v>
      </c>
      <c r="H214" s="7">
        <v>8.4935161398782117</v>
      </c>
      <c r="I214" s="8">
        <v>39253.219157</v>
      </c>
      <c r="J214" s="12">
        <v>1.6632199999999999</v>
      </c>
      <c r="K214" s="7">
        <v>53.980706776412092</v>
      </c>
      <c r="L214" s="5">
        <v>0.61584341526031505</v>
      </c>
      <c r="M214" s="5">
        <v>61.584341526031508</v>
      </c>
      <c r="N214" s="16">
        <v>1.4661999999999999</v>
      </c>
      <c r="O214" s="20">
        <v>2.9649999</v>
      </c>
      <c r="P214" s="16">
        <v>1.9823999999999999</v>
      </c>
      <c r="Q214" s="25">
        <f t="shared" si="11"/>
        <v>0</v>
      </c>
      <c r="R214">
        <v>0</v>
      </c>
      <c r="S214" s="24">
        <v>0</v>
      </c>
      <c r="T214">
        <f>Q214/100</f>
        <v>0</v>
      </c>
      <c r="U214">
        <f>R214/100</f>
        <v>0</v>
      </c>
      <c r="V214">
        <f>S214/100</f>
        <v>0</v>
      </c>
      <c r="W214">
        <v>0.73173999999999995</v>
      </c>
      <c r="X214">
        <v>0.38300000000000001</v>
      </c>
      <c r="Y214">
        <v>0.38300000000000001</v>
      </c>
      <c r="Z214" s="5">
        <f t="shared" si="12"/>
        <v>38.299999999999997</v>
      </c>
    </row>
    <row r="215" spans="1:26" x14ac:dyDescent="0.25">
      <c r="A215" t="s">
        <v>19</v>
      </c>
      <c r="B215">
        <v>6</v>
      </c>
      <c r="C215">
        <v>2006</v>
      </c>
      <c r="D215" s="5">
        <v>29.7</v>
      </c>
      <c r="E215" s="5">
        <v>48.7</v>
      </c>
      <c r="F215" s="5">
        <f t="shared" si="10"/>
        <v>19.000000000000004</v>
      </c>
      <c r="G215" s="7">
        <v>1.01675125</v>
      </c>
      <c r="H215" s="7">
        <v>8.4477881969218238</v>
      </c>
      <c r="I215" s="8">
        <v>39935.222229999999</v>
      </c>
      <c r="J215" s="12">
        <v>2.4493239999999998</v>
      </c>
      <c r="K215" s="7">
        <v>56.103424449625592</v>
      </c>
      <c r="L215" s="5">
        <v>0.61557942628860496</v>
      </c>
      <c r="M215" s="5">
        <v>61.557942628860495</v>
      </c>
      <c r="N215" s="16">
        <v>1.4649000000000001</v>
      </c>
      <c r="O215" s="20">
        <v>2.9649999</v>
      </c>
      <c r="P215" s="16">
        <v>1.9827999999999999</v>
      </c>
      <c r="Q215" s="25">
        <f t="shared" si="11"/>
        <v>0</v>
      </c>
      <c r="R215">
        <v>0</v>
      </c>
      <c r="S215" s="24">
        <v>0</v>
      </c>
      <c r="T215">
        <f>Q215/100</f>
        <v>0</v>
      </c>
      <c r="U215">
        <f>R215/100</f>
        <v>0</v>
      </c>
      <c r="V215">
        <f>S215/100</f>
        <v>0</v>
      </c>
      <c r="W215">
        <v>0.72926000000000002</v>
      </c>
      <c r="X215">
        <v>0.38200000000000001</v>
      </c>
      <c r="Y215">
        <v>0.38200000000000001</v>
      </c>
      <c r="Z215" s="5">
        <f t="shared" si="12"/>
        <v>38.200000000000003</v>
      </c>
    </row>
    <row r="216" spans="1:26" x14ac:dyDescent="0.25">
      <c r="A216" t="s">
        <v>19</v>
      </c>
      <c r="B216">
        <v>6</v>
      </c>
      <c r="C216">
        <v>2007</v>
      </c>
      <c r="D216" s="5">
        <v>29.8</v>
      </c>
      <c r="E216" s="5">
        <v>48.8</v>
      </c>
      <c r="F216" s="5">
        <f t="shared" si="10"/>
        <v>18.999999999999996</v>
      </c>
      <c r="G216" s="7">
        <v>1.0148799799999999</v>
      </c>
      <c r="H216" s="7">
        <v>7.6567448323152858</v>
      </c>
      <c r="I216" s="8">
        <v>40652.384470999998</v>
      </c>
      <c r="J216" s="12">
        <v>2.4247359999999998</v>
      </c>
      <c r="K216" s="7">
        <v>56.420756583013961</v>
      </c>
      <c r="L216" s="5">
        <v>0.60730212926864602</v>
      </c>
      <c r="M216" s="5">
        <v>60.730212926864603</v>
      </c>
      <c r="N216" s="16">
        <v>1.4685999999999999</v>
      </c>
      <c r="O216" s="20">
        <v>2.9870000000000001</v>
      </c>
      <c r="P216" s="16">
        <v>1.9833000000000001</v>
      </c>
      <c r="Q216" s="25">
        <f t="shared" si="11"/>
        <v>0</v>
      </c>
      <c r="R216">
        <v>0</v>
      </c>
      <c r="S216" s="24">
        <v>0</v>
      </c>
      <c r="T216">
        <f>Q216/100</f>
        <v>0</v>
      </c>
      <c r="U216">
        <f>R216/100</f>
        <v>0</v>
      </c>
      <c r="V216">
        <f>S216/100</f>
        <v>0</v>
      </c>
      <c r="W216">
        <v>0.72533999999999998</v>
      </c>
      <c r="X216">
        <v>0.372</v>
      </c>
      <c r="Y216">
        <v>0.372</v>
      </c>
      <c r="Z216" s="5">
        <f t="shared" si="12"/>
        <v>37.200000000000003</v>
      </c>
    </row>
    <row r="217" spans="1:26" x14ac:dyDescent="0.25">
      <c r="A217" t="s">
        <v>19</v>
      </c>
      <c r="B217">
        <v>6</v>
      </c>
      <c r="C217">
        <v>2008</v>
      </c>
      <c r="D217" s="5">
        <v>29.9</v>
      </c>
      <c r="E217" s="5">
        <v>48.9</v>
      </c>
      <c r="F217" s="5">
        <f t="shared" si="10"/>
        <v>19</v>
      </c>
      <c r="G217" s="7">
        <v>1.0281286199999999</v>
      </c>
      <c r="H217" s="7">
        <v>7.063411637051102</v>
      </c>
      <c r="I217" s="8">
        <v>40529.325788000002</v>
      </c>
      <c r="J217" s="12">
        <v>0.25494600000000001</v>
      </c>
      <c r="K217" s="7">
        <v>57.39708288579488</v>
      </c>
      <c r="L217" s="5">
        <v>0.60768872499465898</v>
      </c>
      <c r="M217" s="5">
        <v>60.7688724994659</v>
      </c>
      <c r="N217" s="16">
        <v>1.4737</v>
      </c>
      <c r="O217" s="20">
        <v>2.9690001000000001</v>
      </c>
      <c r="P217" s="16">
        <v>1.974</v>
      </c>
      <c r="Q217" s="25">
        <f t="shared" si="11"/>
        <v>0</v>
      </c>
      <c r="R217">
        <v>0</v>
      </c>
      <c r="S217" s="24">
        <v>0</v>
      </c>
      <c r="T217">
        <f>Q217/100</f>
        <v>0</v>
      </c>
      <c r="U217">
        <f>R217/100</f>
        <v>0</v>
      </c>
      <c r="V217">
        <f>S217/100</f>
        <v>0</v>
      </c>
      <c r="W217">
        <v>0.72307999999999995</v>
      </c>
      <c r="X217">
        <v>0.371</v>
      </c>
      <c r="Y217">
        <v>0.371</v>
      </c>
      <c r="Z217" s="5">
        <f t="shared" si="12"/>
        <v>37.1</v>
      </c>
    </row>
    <row r="218" spans="1:26" x14ac:dyDescent="0.25">
      <c r="A218" t="s">
        <v>19</v>
      </c>
      <c r="B218">
        <v>6</v>
      </c>
      <c r="C218">
        <v>2009</v>
      </c>
      <c r="D218" s="5">
        <v>30.2</v>
      </c>
      <c r="E218" s="5">
        <v>49.6</v>
      </c>
      <c r="F218" s="5">
        <f t="shared" si="10"/>
        <v>19.400000000000002</v>
      </c>
      <c r="G218" s="7">
        <v>1.0008762047999999</v>
      </c>
      <c r="H218" s="7">
        <v>8.7362101233290872</v>
      </c>
      <c r="I218" s="8">
        <v>39163.379045000001</v>
      </c>
      <c r="J218" s="12">
        <v>-2.8733140000000001</v>
      </c>
      <c r="K218" s="7">
        <v>50.462450850072969</v>
      </c>
      <c r="L218" s="5">
        <v>0.62132555246353105</v>
      </c>
      <c r="M218" s="5">
        <v>62.132555246353107</v>
      </c>
      <c r="N218" s="16">
        <v>1.4604999999999999</v>
      </c>
      <c r="O218" s="20">
        <v>2.9569999999999999</v>
      </c>
      <c r="P218" s="16">
        <v>1.9775</v>
      </c>
      <c r="Q218" s="25">
        <f t="shared" si="11"/>
        <v>0</v>
      </c>
      <c r="R218">
        <v>0</v>
      </c>
      <c r="S218" s="24">
        <v>0</v>
      </c>
      <c r="T218">
        <f>Q218/100</f>
        <v>0</v>
      </c>
      <c r="U218">
        <f>R218/100</f>
        <v>0</v>
      </c>
      <c r="V218">
        <f>S218/100</f>
        <v>0</v>
      </c>
      <c r="W218">
        <v>0.73104999999999998</v>
      </c>
      <c r="X218">
        <v>0.38300000000000001</v>
      </c>
      <c r="Y218">
        <v>0.38300000000000001</v>
      </c>
      <c r="Z218" s="5">
        <f t="shared" si="12"/>
        <v>38.299999999999997</v>
      </c>
    </row>
    <row r="219" spans="1:26" x14ac:dyDescent="0.25">
      <c r="A219" t="s">
        <v>19</v>
      </c>
      <c r="B219">
        <v>6</v>
      </c>
      <c r="C219">
        <v>2010</v>
      </c>
      <c r="D219" s="5">
        <v>30.7</v>
      </c>
      <c r="E219" s="5">
        <v>50.4</v>
      </c>
      <c r="F219" s="5">
        <f t="shared" si="10"/>
        <v>19.7</v>
      </c>
      <c r="G219" s="7">
        <v>1.01531123</v>
      </c>
      <c r="H219" s="7">
        <v>8.8714341520288063</v>
      </c>
      <c r="I219" s="8">
        <v>39730.929181</v>
      </c>
      <c r="J219" s="12">
        <v>1.949438</v>
      </c>
      <c r="K219" s="7">
        <v>54.867791081893401</v>
      </c>
      <c r="L219" s="5">
        <v>0.62070119380950906</v>
      </c>
      <c r="M219" s="5">
        <v>62.070119380950906</v>
      </c>
      <c r="N219" s="16">
        <v>1.4499668999999999</v>
      </c>
      <c r="O219" s="20">
        <v>2.9740000000000002</v>
      </c>
      <c r="P219" s="16">
        <v>1.9355576000000001</v>
      </c>
      <c r="Q219" s="25">
        <f t="shared" si="11"/>
        <v>0</v>
      </c>
      <c r="R219">
        <v>0</v>
      </c>
      <c r="S219" s="24">
        <v>0</v>
      </c>
      <c r="T219">
        <f>Q219/100</f>
        <v>0</v>
      </c>
      <c r="U219">
        <f>R219/100</f>
        <v>0</v>
      </c>
      <c r="V219">
        <f>S219/100</f>
        <v>0</v>
      </c>
      <c r="W219">
        <v>0.73487000000000002</v>
      </c>
      <c r="X219">
        <v>0.38700000000000001</v>
      </c>
      <c r="Y219">
        <v>0.38700000000000001</v>
      </c>
      <c r="Z219" s="5">
        <f t="shared" si="12"/>
        <v>38.700000000000003</v>
      </c>
    </row>
    <row r="220" spans="1:26" x14ac:dyDescent="0.25">
      <c r="A220" t="s">
        <v>19</v>
      </c>
      <c r="B220">
        <v>6</v>
      </c>
      <c r="C220">
        <v>2011</v>
      </c>
      <c r="D220" s="5">
        <v>31.1</v>
      </c>
      <c r="E220" s="5">
        <v>51</v>
      </c>
      <c r="F220" s="5">
        <f t="shared" si="10"/>
        <v>19.899999999999999</v>
      </c>
      <c r="G220" s="7">
        <v>1.02111598</v>
      </c>
      <c r="H220" s="7">
        <v>8.8112171567343296</v>
      </c>
      <c r="I220" s="8">
        <v>40403.853392999998</v>
      </c>
      <c r="J220" s="12">
        <v>2.192701</v>
      </c>
      <c r="K220" s="7">
        <v>58.790576422400456</v>
      </c>
      <c r="L220" s="5">
        <v>0.61918979883194003</v>
      </c>
      <c r="M220" s="5">
        <v>61.918979883194005</v>
      </c>
      <c r="N220" s="18">
        <v>1.4970000000000001</v>
      </c>
      <c r="O220" s="20">
        <v>2.9890001000000002</v>
      </c>
      <c r="P220" s="18">
        <v>1.9970000000000001</v>
      </c>
      <c r="Q220" s="25">
        <f t="shared" si="11"/>
        <v>1.5525199999999999</v>
      </c>
      <c r="R220">
        <v>0.89156999999999997</v>
      </c>
      <c r="S220" s="24">
        <v>0.66094999999999993</v>
      </c>
      <c r="T220">
        <f>Q220/100</f>
        <v>1.5525199999999999E-2</v>
      </c>
      <c r="U220">
        <f>R220/100</f>
        <v>8.9157000000000004E-3</v>
      </c>
      <c r="V220">
        <f>S220/100</f>
        <v>6.6094999999999991E-3</v>
      </c>
      <c r="W220">
        <v>0.73690999999999995</v>
      </c>
      <c r="X220">
        <v>0.39300000000000002</v>
      </c>
      <c r="Y220">
        <v>0.39300000000000002</v>
      </c>
      <c r="Z220" s="5">
        <f t="shared" si="12"/>
        <v>39.300000000000004</v>
      </c>
    </row>
    <row r="221" spans="1:26" x14ac:dyDescent="0.25">
      <c r="A221" t="s">
        <v>19</v>
      </c>
      <c r="B221">
        <v>6</v>
      </c>
      <c r="C221">
        <v>2012</v>
      </c>
      <c r="D221" s="5">
        <v>30.9</v>
      </c>
      <c r="E221" s="5">
        <v>51.2</v>
      </c>
      <c r="F221" s="5">
        <f t="shared" si="10"/>
        <v>20.300000000000004</v>
      </c>
      <c r="G221" s="7">
        <v>1.01954195</v>
      </c>
      <c r="H221" s="7">
        <v>9.4002794786809734</v>
      </c>
      <c r="I221" s="8">
        <v>40332.198991999998</v>
      </c>
      <c r="J221" s="12">
        <v>0.313135</v>
      </c>
      <c r="K221" s="7">
        <v>59.7020591687875</v>
      </c>
      <c r="L221" s="5">
        <v>0.62338405847549405</v>
      </c>
      <c r="M221" s="5">
        <v>62.338405847549403</v>
      </c>
      <c r="N221" s="18">
        <v>1.488</v>
      </c>
      <c r="O221" s="20">
        <v>2.9820001</v>
      </c>
      <c r="P221" s="18">
        <v>2.0039999000000002</v>
      </c>
      <c r="Q221" s="25">
        <f t="shared" si="11"/>
        <v>1.9002600000000001</v>
      </c>
      <c r="R221">
        <v>0.69730000000000003</v>
      </c>
      <c r="S221" s="24">
        <v>1.20296</v>
      </c>
      <c r="T221">
        <f>Q221/100</f>
        <v>1.9002600000000001E-2</v>
      </c>
      <c r="U221">
        <f>R221/100</f>
        <v>6.973E-3</v>
      </c>
      <c r="V221">
        <f>S221/100</f>
        <v>1.20296E-2</v>
      </c>
      <c r="W221">
        <v>0.73848000000000003</v>
      </c>
      <c r="X221">
        <v>0.39100000000000001</v>
      </c>
      <c r="Y221">
        <v>0.39100000000000001</v>
      </c>
      <c r="Z221" s="5">
        <f t="shared" si="12"/>
        <v>39.1</v>
      </c>
    </row>
    <row r="222" spans="1:26" x14ac:dyDescent="0.25">
      <c r="A222" t="s">
        <v>19</v>
      </c>
      <c r="B222">
        <v>6</v>
      </c>
      <c r="C222">
        <v>2013</v>
      </c>
      <c r="D222" s="5">
        <v>30.1</v>
      </c>
      <c r="E222" s="5">
        <v>50.8</v>
      </c>
      <c r="F222" s="5">
        <f t="shared" si="10"/>
        <v>20.699999999999996</v>
      </c>
      <c r="G222" s="7">
        <v>1.008637155</v>
      </c>
      <c r="H222" s="7">
        <v>9.9205870937608189</v>
      </c>
      <c r="I222" s="8">
        <v>40355.646335999998</v>
      </c>
      <c r="J222" s="12">
        <v>0.57632700000000003</v>
      </c>
      <c r="K222" s="7">
        <v>59.764055074913017</v>
      </c>
      <c r="L222" s="5">
        <v>0.62315434217453003</v>
      </c>
      <c r="M222" s="5">
        <v>62.315434217453003</v>
      </c>
      <c r="N222" s="16">
        <v>1.48427175</v>
      </c>
      <c r="O222" s="20">
        <v>2.8943354422174101</v>
      </c>
      <c r="P222" s="16">
        <v>1.9498514499999999</v>
      </c>
      <c r="Q222" s="25">
        <f t="shared" si="11"/>
        <v>2.4908299999999999</v>
      </c>
      <c r="R222">
        <v>0.70768999999999993</v>
      </c>
      <c r="S222" s="24">
        <v>1.7831399999999999</v>
      </c>
      <c r="T222">
        <f>Q222/100</f>
        <v>2.4908299999999998E-2</v>
      </c>
      <c r="U222">
        <f>R222/100</f>
        <v>7.0768999999999997E-3</v>
      </c>
      <c r="V222">
        <f>S222/100</f>
        <v>1.7831400000000001E-2</v>
      </c>
      <c r="W222">
        <v>0.73301000000000005</v>
      </c>
      <c r="X222">
        <v>0.379</v>
      </c>
      <c r="Y222">
        <v>0.379</v>
      </c>
      <c r="Z222" s="5">
        <f t="shared" si="12"/>
        <v>37.9</v>
      </c>
    </row>
    <row r="223" spans="1:26" x14ac:dyDescent="0.25">
      <c r="A223" t="s">
        <v>19</v>
      </c>
      <c r="B223">
        <v>6</v>
      </c>
      <c r="C223">
        <v>2014</v>
      </c>
      <c r="D223" s="5">
        <v>29.9</v>
      </c>
      <c r="E223" s="5">
        <v>51</v>
      </c>
      <c r="F223" s="5">
        <f t="shared" si="10"/>
        <v>21.1</v>
      </c>
      <c r="G223" s="7">
        <v>1.005077588</v>
      </c>
      <c r="H223" s="7">
        <v>10.292427097292038</v>
      </c>
      <c r="I223" s="8">
        <v>40544.300556000002</v>
      </c>
      <c r="J223" s="12">
        <v>0.95618300000000001</v>
      </c>
      <c r="K223" s="7">
        <v>60.478796519619578</v>
      </c>
      <c r="L223" s="5">
        <v>0.62372171878814697</v>
      </c>
      <c r="M223" s="5">
        <v>62.372171878814697</v>
      </c>
      <c r="N223" s="16">
        <v>1.4805435</v>
      </c>
      <c r="O223" s="20">
        <v>2.80667078443483</v>
      </c>
      <c r="P223" s="16">
        <v>1.8957029999999999</v>
      </c>
      <c r="Q223" s="25">
        <f t="shared" si="11"/>
        <v>1.23587</v>
      </c>
      <c r="R223">
        <v>1.2952699999999999</v>
      </c>
      <c r="S223" s="24">
        <v>-5.9399999999999981E-2</v>
      </c>
      <c r="T223">
        <f>Q223/100</f>
        <v>1.23587E-2</v>
      </c>
      <c r="U223">
        <f>R223/100</f>
        <v>1.2952699999999999E-2</v>
      </c>
      <c r="V223">
        <f>S223/100</f>
        <v>-5.939999999999998E-4</v>
      </c>
      <c r="W223">
        <v>0.73485999999999996</v>
      </c>
      <c r="X223">
        <v>0.38200000000000001</v>
      </c>
      <c r="Y223">
        <v>0.38200000000000001</v>
      </c>
      <c r="Z223" s="5">
        <f t="shared" si="12"/>
        <v>38.200000000000003</v>
      </c>
    </row>
    <row r="224" spans="1:26" x14ac:dyDescent="0.25">
      <c r="A224" t="s">
        <v>7</v>
      </c>
      <c r="B224">
        <v>7</v>
      </c>
      <c r="C224">
        <v>1978</v>
      </c>
      <c r="G224" s="7">
        <v>1.0357432200000001</v>
      </c>
      <c r="H224" s="7">
        <v>2.0785969470607339</v>
      </c>
      <c r="I224" s="8">
        <v>26819.972140999998</v>
      </c>
      <c r="J224" s="12">
        <v>-0.21065300000000001</v>
      </c>
      <c r="K224" s="7">
        <v>59.667987243674759</v>
      </c>
      <c r="L224" s="5">
        <v>0.63296043872833296</v>
      </c>
      <c r="M224" s="5">
        <v>63.296043872833295</v>
      </c>
      <c r="Q224" s="25">
        <f t="shared" si="11"/>
        <v>0</v>
      </c>
      <c r="R224">
        <v>0</v>
      </c>
      <c r="S224" s="24">
        <v>0</v>
      </c>
      <c r="T224">
        <f>Q224/100</f>
        <v>0</v>
      </c>
      <c r="U224">
        <f>R224/100</f>
        <v>0</v>
      </c>
      <c r="V224">
        <f>S224/100</f>
        <v>0</v>
      </c>
    </row>
    <row r="225" spans="1:26" x14ac:dyDescent="0.25">
      <c r="A225" t="s">
        <v>7</v>
      </c>
      <c r="B225">
        <v>7</v>
      </c>
      <c r="C225">
        <v>1979</v>
      </c>
      <c r="G225" s="7">
        <v>1.0370740599999999</v>
      </c>
      <c r="H225" s="7">
        <v>2.0860077021822852</v>
      </c>
      <c r="I225" s="8">
        <v>28304.845916999999</v>
      </c>
      <c r="J225" s="12">
        <v>5.3567</v>
      </c>
      <c r="K225" s="7">
        <v>63.317219564994517</v>
      </c>
      <c r="L225" s="5">
        <v>0.63296043872833296</v>
      </c>
      <c r="M225" s="5">
        <v>63.296043872833295</v>
      </c>
      <c r="Q225" s="25">
        <f t="shared" si="11"/>
        <v>0</v>
      </c>
      <c r="R225">
        <v>0</v>
      </c>
      <c r="S225" s="24">
        <v>0</v>
      </c>
      <c r="T225">
        <f>Q225/100</f>
        <v>0</v>
      </c>
      <c r="U225">
        <f>R225/100</f>
        <v>0</v>
      </c>
      <c r="V225">
        <f>S225/100</f>
        <v>0</v>
      </c>
    </row>
    <row r="226" spans="1:26" x14ac:dyDescent="0.25">
      <c r="A226" t="s">
        <v>7</v>
      </c>
      <c r="B226">
        <v>7</v>
      </c>
      <c r="C226">
        <v>1980</v>
      </c>
      <c r="G226" s="7">
        <v>1.06328318</v>
      </c>
      <c r="H226" s="7">
        <v>1.8542199488491049</v>
      </c>
      <c r="I226" s="8">
        <v>28794.909683999998</v>
      </c>
      <c r="J226" s="12">
        <v>1.7314849999999999</v>
      </c>
      <c r="K226" s="7">
        <v>66.825005615553451</v>
      </c>
      <c r="L226" s="5">
        <v>0.63296043872833296</v>
      </c>
      <c r="M226" s="5">
        <v>63.296043872833295</v>
      </c>
      <c r="N226" s="16">
        <v>1.9372893</v>
      </c>
      <c r="P226" s="16">
        <v>1.78</v>
      </c>
      <c r="Q226" s="25">
        <f t="shared" si="11"/>
        <v>0.84287999999999996</v>
      </c>
      <c r="R226">
        <v>0.72101999999999999</v>
      </c>
      <c r="S226" s="24">
        <v>0.12186</v>
      </c>
      <c r="T226">
        <f>Q226/100</f>
        <v>8.4288000000000002E-3</v>
      </c>
      <c r="U226">
        <f>R226/100</f>
        <v>7.2101999999999999E-3</v>
      </c>
      <c r="V226">
        <f>S226/100</f>
        <v>1.2186E-3</v>
      </c>
    </row>
    <row r="227" spans="1:26" x14ac:dyDescent="0.25">
      <c r="A227" t="s">
        <v>7</v>
      </c>
      <c r="B227">
        <v>7</v>
      </c>
      <c r="C227">
        <v>1981</v>
      </c>
      <c r="G227" s="7">
        <v>1.0680304300000001</v>
      </c>
      <c r="H227" s="7">
        <v>2.5236593059936907</v>
      </c>
      <c r="I227" s="8">
        <v>28680.127318999999</v>
      </c>
      <c r="J227" s="12">
        <v>-0.14429500000000001</v>
      </c>
      <c r="K227" s="7">
        <v>68.396549360277447</v>
      </c>
      <c r="L227" s="5">
        <v>0.63296043872833296</v>
      </c>
      <c r="M227" s="5">
        <v>63.296043872833295</v>
      </c>
      <c r="N227" s="16">
        <v>1.938571</v>
      </c>
      <c r="P227" s="16">
        <v>1.7828569999999999</v>
      </c>
      <c r="Q227" s="25">
        <f t="shared" si="11"/>
        <v>1.6545700000000001</v>
      </c>
      <c r="R227">
        <v>1.1251100000000001</v>
      </c>
      <c r="S227" s="24">
        <v>0.52946000000000004</v>
      </c>
      <c r="T227">
        <f>Q227/100</f>
        <v>1.65457E-2</v>
      </c>
      <c r="U227">
        <f>R227/100</f>
        <v>1.12511E-2</v>
      </c>
      <c r="V227">
        <f>S227/100</f>
        <v>5.2946E-3</v>
      </c>
    </row>
    <row r="228" spans="1:26" x14ac:dyDescent="0.25">
      <c r="A228" t="s">
        <v>7</v>
      </c>
      <c r="B228">
        <v>7</v>
      </c>
      <c r="C228">
        <v>1982</v>
      </c>
      <c r="G228" s="7">
        <v>1.0543602599999999</v>
      </c>
      <c r="H228" s="7">
        <v>3.4806295399515741</v>
      </c>
      <c r="I228" s="8">
        <v>29235.982938000001</v>
      </c>
      <c r="J228" s="12">
        <v>2.0112540000000001</v>
      </c>
      <c r="K228" s="7">
        <v>64.117113705805295</v>
      </c>
      <c r="L228" s="5">
        <v>0.63296043872833296</v>
      </c>
      <c r="M228" s="5">
        <v>63.296043872833295</v>
      </c>
      <c r="N228" s="16">
        <v>1.9371430000000001</v>
      </c>
      <c r="P228" s="16">
        <v>1.785714</v>
      </c>
      <c r="Q228" s="25">
        <f t="shared" si="11"/>
        <v>0</v>
      </c>
      <c r="R228">
        <v>0</v>
      </c>
      <c r="S228" s="24">
        <v>0</v>
      </c>
      <c r="T228">
        <f>Q228/100</f>
        <v>0</v>
      </c>
      <c r="U228">
        <f>R228/100</f>
        <v>0</v>
      </c>
      <c r="V228">
        <f>S228/100</f>
        <v>0</v>
      </c>
    </row>
    <row r="229" spans="1:26" x14ac:dyDescent="0.25">
      <c r="A229" t="s">
        <v>7</v>
      </c>
      <c r="B229">
        <v>7</v>
      </c>
      <c r="C229">
        <v>1983</v>
      </c>
      <c r="G229" s="7">
        <v>1.0333916700000001</v>
      </c>
      <c r="H229" s="7">
        <v>4.0983606557377046</v>
      </c>
      <c r="I229" s="8">
        <v>30153.884062000001</v>
      </c>
      <c r="J229" s="12">
        <v>2.9730880000000002</v>
      </c>
      <c r="K229" s="7">
        <v>62.472184522518162</v>
      </c>
      <c r="L229" s="5">
        <v>0.63296043872833296</v>
      </c>
      <c r="M229" s="5">
        <v>63.296043872833295</v>
      </c>
      <c r="N229" s="16">
        <v>1.9357139999999999</v>
      </c>
      <c r="P229" s="16">
        <v>1.7885709999999999</v>
      </c>
      <c r="Q229" s="25">
        <f t="shared" si="11"/>
        <v>0</v>
      </c>
      <c r="R229">
        <v>0</v>
      </c>
      <c r="S229" s="24">
        <v>0</v>
      </c>
      <c r="T229">
        <f>Q229/100</f>
        <v>0</v>
      </c>
      <c r="U229">
        <f>R229/100</f>
        <v>0</v>
      </c>
      <c r="V229">
        <f>S229/100</f>
        <v>0</v>
      </c>
    </row>
    <row r="230" spans="1:26" x14ac:dyDescent="0.25">
      <c r="A230" t="s">
        <v>7</v>
      </c>
      <c r="B230">
        <v>7</v>
      </c>
      <c r="C230">
        <v>1984</v>
      </c>
      <c r="G230" s="7">
        <v>1.05663189</v>
      </c>
      <c r="H230" s="7">
        <v>3.8061254831995237</v>
      </c>
      <c r="I230" s="8">
        <v>30171.244728999998</v>
      </c>
      <c r="J230" s="12">
        <v>5.1275000000000001E-2</v>
      </c>
      <c r="K230" s="7">
        <v>66.575006102218452</v>
      </c>
      <c r="L230" s="5">
        <v>0.63296043872833296</v>
      </c>
      <c r="M230" s="5">
        <v>63.296043872833295</v>
      </c>
      <c r="N230" s="16">
        <v>1.9342859999999999</v>
      </c>
      <c r="P230" s="16">
        <v>1.7914289999999999</v>
      </c>
      <c r="Q230" s="25">
        <f t="shared" si="11"/>
        <v>2.1307</v>
      </c>
      <c r="R230">
        <v>0.63920999999999994</v>
      </c>
      <c r="S230" s="24">
        <v>1.49149</v>
      </c>
      <c r="T230">
        <f>Q230/100</f>
        <v>2.1307E-2</v>
      </c>
      <c r="U230">
        <f>R230/100</f>
        <v>6.3920999999999995E-3</v>
      </c>
      <c r="V230">
        <f>S230/100</f>
        <v>1.49149E-2</v>
      </c>
    </row>
    <row r="231" spans="1:26" x14ac:dyDescent="0.25">
      <c r="A231" t="s">
        <v>7</v>
      </c>
      <c r="B231">
        <v>7</v>
      </c>
      <c r="C231">
        <v>1985</v>
      </c>
      <c r="G231" s="7">
        <v>1.03189511</v>
      </c>
      <c r="H231" s="7">
        <v>3.6065573770491808</v>
      </c>
      <c r="I231" s="8">
        <v>30910.614982999999</v>
      </c>
      <c r="J231" s="12">
        <v>2.4986790000000001</v>
      </c>
      <c r="K231" s="7">
        <v>70.08316231022205</v>
      </c>
      <c r="L231" s="5">
        <v>0.63296043872833296</v>
      </c>
      <c r="M231" s="5">
        <v>63.296043872833295</v>
      </c>
      <c r="N231" s="16">
        <v>1.932857</v>
      </c>
      <c r="P231" s="16">
        <v>1.794286</v>
      </c>
      <c r="Q231" s="25">
        <f t="shared" si="11"/>
        <v>0</v>
      </c>
      <c r="R231">
        <v>0</v>
      </c>
      <c r="S231" s="24">
        <v>0</v>
      </c>
      <c r="T231">
        <f>Q231/100</f>
        <v>0</v>
      </c>
      <c r="U231">
        <f>R231/100</f>
        <v>0</v>
      </c>
      <c r="V231">
        <f>S231/100</f>
        <v>0</v>
      </c>
    </row>
    <row r="232" spans="1:26" x14ac:dyDescent="0.25">
      <c r="A232" t="s">
        <v>7</v>
      </c>
      <c r="B232">
        <v>7</v>
      </c>
      <c r="C232">
        <v>1986</v>
      </c>
      <c r="G232" s="7">
        <v>1.01705446</v>
      </c>
      <c r="H232" s="7">
        <v>3.1314623338257022</v>
      </c>
      <c r="I232" s="8">
        <v>31601.896390999998</v>
      </c>
      <c r="J232" s="12">
        <v>2.301393</v>
      </c>
      <c r="K232" s="7">
        <v>64.014597659960529</v>
      </c>
      <c r="L232" s="5">
        <v>0.63296043872833296</v>
      </c>
      <c r="M232" s="5">
        <v>63.296043872833295</v>
      </c>
      <c r="N232" s="16">
        <v>1.9314290000000001</v>
      </c>
      <c r="P232" s="16">
        <v>1.7971429999999999</v>
      </c>
      <c r="Q232" s="25">
        <f t="shared" si="11"/>
        <v>0</v>
      </c>
      <c r="R232">
        <v>0</v>
      </c>
      <c r="S232" s="24">
        <v>0</v>
      </c>
      <c r="T232">
        <f>Q232/100</f>
        <v>0</v>
      </c>
      <c r="U232">
        <f>R232/100</f>
        <v>0</v>
      </c>
      <c r="V232">
        <f>S232/100</f>
        <v>0</v>
      </c>
    </row>
    <row r="233" spans="1:26" x14ac:dyDescent="0.25">
      <c r="A233" t="s">
        <v>7</v>
      </c>
      <c r="B233">
        <v>7</v>
      </c>
      <c r="C233">
        <v>1987</v>
      </c>
      <c r="D233" s="5">
        <v>39</v>
      </c>
      <c r="E233" s="5">
        <v>46</v>
      </c>
      <c r="F233" s="5">
        <f t="shared" ref="F233:F296" si="13">E233-D233</f>
        <v>7</v>
      </c>
      <c r="G233" s="7">
        <v>1.01401955</v>
      </c>
      <c r="H233" s="7">
        <v>3.7934053107674353</v>
      </c>
      <c r="I233" s="8">
        <v>32010.523204000001</v>
      </c>
      <c r="J233" s="12">
        <v>1.3571679999999999</v>
      </c>
      <c r="K233" s="7">
        <v>62.853722629247166</v>
      </c>
      <c r="L233" s="5">
        <v>0.63296043872833296</v>
      </c>
      <c r="M233" s="5">
        <v>63.296043872833295</v>
      </c>
      <c r="N233" s="16">
        <v>1.9345512</v>
      </c>
      <c r="P233" s="16">
        <v>1.7960103000000001</v>
      </c>
      <c r="Q233" s="25">
        <f t="shared" si="11"/>
        <v>0</v>
      </c>
      <c r="R233">
        <v>0</v>
      </c>
      <c r="S233" s="24">
        <v>0</v>
      </c>
      <c r="T233">
        <f>Q233/100</f>
        <v>0</v>
      </c>
      <c r="U233">
        <f>R233/100</f>
        <v>0</v>
      </c>
      <c r="V233">
        <f>S233/100</f>
        <v>0</v>
      </c>
    </row>
    <row r="234" spans="1:26" x14ac:dyDescent="0.25">
      <c r="A234" t="s">
        <v>7</v>
      </c>
      <c r="B234">
        <v>7</v>
      </c>
      <c r="C234">
        <v>1988</v>
      </c>
      <c r="D234" s="5">
        <v>37.5</v>
      </c>
      <c r="E234" s="5">
        <v>45.8</v>
      </c>
      <c r="F234" s="5">
        <f t="shared" si="13"/>
        <v>8.2999999999999972</v>
      </c>
      <c r="G234" s="7">
        <v>1.0191572</v>
      </c>
      <c r="H234" s="7">
        <v>3.5568513119533525</v>
      </c>
      <c r="I234" s="8">
        <v>33018.773645000001</v>
      </c>
      <c r="J234" s="12">
        <v>3.2958799999999999</v>
      </c>
      <c r="K234" s="7">
        <v>66.562549591839442</v>
      </c>
      <c r="L234" s="5">
        <v>0.63296043872833296</v>
      </c>
      <c r="M234" s="5">
        <v>63.296043872833295</v>
      </c>
      <c r="N234" s="16">
        <v>1.9569687</v>
      </c>
      <c r="P234" s="16">
        <v>1.8139506000000001</v>
      </c>
      <c r="Q234" s="25">
        <f t="shared" si="11"/>
        <v>0</v>
      </c>
      <c r="R234">
        <v>0</v>
      </c>
      <c r="S234" s="24">
        <v>0</v>
      </c>
      <c r="T234">
        <f>Q234/100</f>
        <v>0</v>
      </c>
      <c r="U234">
        <f>R234/100</f>
        <v>0</v>
      </c>
      <c r="V234">
        <f>S234/100</f>
        <v>0</v>
      </c>
    </row>
    <row r="235" spans="1:26" x14ac:dyDescent="0.25">
      <c r="A235" t="s">
        <v>7</v>
      </c>
      <c r="B235">
        <v>7</v>
      </c>
      <c r="C235">
        <v>1989</v>
      </c>
      <c r="D235" s="5">
        <v>36.1</v>
      </c>
      <c r="E235" s="5">
        <v>45.6</v>
      </c>
      <c r="F235" s="5">
        <f t="shared" si="13"/>
        <v>9.5</v>
      </c>
      <c r="G235" s="7">
        <v>1.0256834699999999</v>
      </c>
      <c r="H235" s="7">
        <v>3.1304347826086958</v>
      </c>
      <c r="I235" s="8">
        <v>34148.053781000002</v>
      </c>
      <c r="J235" s="12">
        <v>3.8870749999999998</v>
      </c>
      <c r="K235" s="7">
        <v>70.538359093152039</v>
      </c>
      <c r="L235" s="5">
        <v>0.63296043872833296</v>
      </c>
      <c r="M235" s="5">
        <v>63.296043872833295</v>
      </c>
      <c r="N235" s="16">
        <v>1.9425429000000001</v>
      </c>
      <c r="P235" s="16">
        <v>1.8128417999999999</v>
      </c>
      <c r="Q235" s="25">
        <f t="shared" si="11"/>
        <v>0</v>
      </c>
      <c r="R235">
        <v>0</v>
      </c>
      <c r="S235" s="24">
        <v>0</v>
      </c>
      <c r="T235">
        <f>Q235/100</f>
        <v>0</v>
      </c>
      <c r="U235">
        <f>R235/100</f>
        <v>0</v>
      </c>
      <c r="V235">
        <f>S235/100</f>
        <v>0</v>
      </c>
    </row>
    <row r="236" spans="1:26" x14ac:dyDescent="0.25">
      <c r="A236" t="s">
        <v>7</v>
      </c>
      <c r="B236">
        <v>7</v>
      </c>
      <c r="C236">
        <v>1990</v>
      </c>
      <c r="D236" s="5">
        <v>34.6</v>
      </c>
      <c r="E236" s="5">
        <v>45.3</v>
      </c>
      <c r="F236" s="5">
        <f t="shared" si="13"/>
        <v>10.699999999999996</v>
      </c>
      <c r="G236" s="7">
        <v>1.0326187200000001</v>
      </c>
      <c r="H236" s="7">
        <v>3.2331253545093595</v>
      </c>
      <c r="I236" s="8">
        <v>35361.516548</v>
      </c>
      <c r="J236" s="12">
        <v>4.3456419999999998</v>
      </c>
      <c r="K236" s="7">
        <v>71.488369471710584</v>
      </c>
      <c r="L236" s="5">
        <v>0.63296043872833296</v>
      </c>
      <c r="M236" s="5">
        <v>63.296043872833295</v>
      </c>
      <c r="N236" s="16">
        <v>1.9479416000000001</v>
      </c>
      <c r="P236" s="16">
        <v>1.7983898</v>
      </c>
      <c r="Q236" s="25">
        <f t="shared" si="11"/>
        <v>0</v>
      </c>
      <c r="R236">
        <v>0</v>
      </c>
      <c r="S236" s="24">
        <v>0</v>
      </c>
      <c r="T236">
        <f>Q236/100</f>
        <v>0</v>
      </c>
      <c r="U236">
        <f>R236/100</f>
        <v>0</v>
      </c>
      <c r="V236">
        <f>S236/100</f>
        <v>0</v>
      </c>
    </row>
    <row r="237" spans="1:26" x14ac:dyDescent="0.25">
      <c r="A237" t="s">
        <v>7</v>
      </c>
      <c r="B237">
        <v>7</v>
      </c>
      <c r="C237">
        <v>1991</v>
      </c>
      <c r="D237" s="5">
        <v>33.1</v>
      </c>
      <c r="E237" s="5">
        <v>45.1</v>
      </c>
      <c r="F237" s="5">
        <f t="shared" si="13"/>
        <v>12</v>
      </c>
      <c r="G237" s="7">
        <v>1.03337426</v>
      </c>
      <c r="H237" s="7">
        <v>3.4760845383759733</v>
      </c>
      <c r="I237" s="8">
        <v>36215.138640999998</v>
      </c>
      <c r="J237" s="12">
        <v>3.441627</v>
      </c>
      <c r="K237" s="7">
        <v>70.048405594409388</v>
      </c>
      <c r="L237" s="5">
        <v>0.63296043872833296</v>
      </c>
      <c r="M237" s="5">
        <v>63.296043872833295</v>
      </c>
      <c r="N237" s="16">
        <v>1.9783919000000001</v>
      </c>
      <c r="P237" s="16">
        <v>1.7810334000000001</v>
      </c>
      <c r="Q237" s="25">
        <f t="shared" si="11"/>
        <v>0</v>
      </c>
      <c r="R237">
        <v>0</v>
      </c>
      <c r="S237" s="24">
        <v>0</v>
      </c>
      <c r="T237">
        <f>Q237/100</f>
        <v>0</v>
      </c>
      <c r="U237">
        <f>R237/100</f>
        <v>0</v>
      </c>
      <c r="V237">
        <f>S237/100</f>
        <v>0</v>
      </c>
    </row>
    <row r="238" spans="1:26" x14ac:dyDescent="0.25">
      <c r="A238" t="s">
        <v>7</v>
      </c>
      <c r="B238">
        <v>7</v>
      </c>
      <c r="C238">
        <v>1992</v>
      </c>
      <c r="D238" s="5">
        <v>31.7</v>
      </c>
      <c r="E238" s="5">
        <v>44.8</v>
      </c>
      <c r="F238" s="5">
        <f t="shared" si="13"/>
        <v>13.099999999999998</v>
      </c>
      <c r="G238" s="7">
        <v>1.0402084700000001</v>
      </c>
      <c r="H238" s="7">
        <v>3.5918367346938775</v>
      </c>
      <c r="I238" s="8">
        <v>36568.631840000002</v>
      </c>
      <c r="J238" s="12">
        <v>2.0935250000000001</v>
      </c>
      <c r="K238" s="7">
        <v>67.630167656087906</v>
      </c>
      <c r="L238" s="5">
        <v>0.63296043872833296</v>
      </c>
      <c r="M238" s="5">
        <v>63.296043872833295</v>
      </c>
      <c r="N238" s="16">
        <v>1.9898201</v>
      </c>
      <c r="P238" s="16">
        <v>1.7842845000000001</v>
      </c>
      <c r="Q238" s="25">
        <f t="shared" si="11"/>
        <v>0</v>
      </c>
      <c r="R238">
        <v>0</v>
      </c>
      <c r="S238" s="24">
        <v>0</v>
      </c>
      <c r="T238">
        <f>Q238/100</f>
        <v>0</v>
      </c>
      <c r="U238">
        <f>R238/100</f>
        <v>0</v>
      </c>
      <c r="V238">
        <f>S238/100</f>
        <v>0</v>
      </c>
    </row>
    <row r="239" spans="1:26" x14ac:dyDescent="0.25">
      <c r="A239" t="s">
        <v>7</v>
      </c>
      <c r="B239">
        <v>7</v>
      </c>
      <c r="C239">
        <v>1993</v>
      </c>
      <c r="D239" s="5">
        <v>30.2</v>
      </c>
      <c r="E239" s="5">
        <v>44.5</v>
      </c>
      <c r="F239" s="5">
        <f t="shared" si="13"/>
        <v>14.3</v>
      </c>
      <c r="G239" s="7">
        <v>1.03631786</v>
      </c>
      <c r="H239" s="7">
        <v>4.2158968850698173</v>
      </c>
      <c r="I239" s="8">
        <v>36459.386162000003</v>
      </c>
      <c r="J239" s="12">
        <v>0.52680899999999997</v>
      </c>
      <c r="K239" s="7">
        <v>63.265050779423824</v>
      </c>
      <c r="L239" s="5">
        <v>0.63296043872833296</v>
      </c>
      <c r="M239" s="5">
        <v>63.296043872833295</v>
      </c>
      <c r="N239" s="16">
        <v>2.0030351999999998</v>
      </c>
      <c r="P239" s="16">
        <v>1.7892793</v>
      </c>
      <c r="Q239" s="25">
        <f t="shared" si="11"/>
        <v>0</v>
      </c>
      <c r="R239">
        <v>0</v>
      </c>
      <c r="S239" s="24">
        <v>0</v>
      </c>
      <c r="T239">
        <f>Q239/100</f>
        <v>0</v>
      </c>
      <c r="U239">
        <f>R239/100</f>
        <v>0</v>
      </c>
      <c r="V239">
        <f>S239/100</f>
        <v>0</v>
      </c>
    </row>
    <row r="240" spans="1:26" ht="15.75" x14ac:dyDescent="0.25">
      <c r="A240" t="s">
        <v>7</v>
      </c>
      <c r="B240">
        <v>7</v>
      </c>
      <c r="C240">
        <v>1994</v>
      </c>
      <c r="D240" s="5">
        <v>28.7</v>
      </c>
      <c r="E240" s="5">
        <v>44.3</v>
      </c>
      <c r="F240" s="5">
        <f t="shared" si="13"/>
        <v>15.599999999999998</v>
      </c>
      <c r="G240" s="7">
        <v>1.02953407</v>
      </c>
      <c r="H240" s="7">
        <v>3.5824742268041234</v>
      </c>
      <c r="I240" s="8">
        <v>37191.763619999998</v>
      </c>
      <c r="J240" s="12">
        <v>2.4021189999999999</v>
      </c>
      <c r="K240" s="7">
        <v>65.987093397069586</v>
      </c>
      <c r="L240" s="5">
        <v>0.63296043872833296</v>
      </c>
      <c r="M240" s="5">
        <v>63.296043872833295</v>
      </c>
      <c r="N240" s="16">
        <v>2.0078132000000002</v>
      </c>
      <c r="P240" s="16">
        <v>1.8175159000000001</v>
      </c>
      <c r="Q240" s="25">
        <f t="shared" si="11"/>
        <v>0</v>
      </c>
      <c r="R240">
        <v>0</v>
      </c>
      <c r="S240" s="24">
        <v>0</v>
      </c>
      <c r="T240">
        <f>Q240/100</f>
        <v>0</v>
      </c>
      <c r="U240">
        <f>R240/100</f>
        <v>0</v>
      </c>
      <c r="V240">
        <f>S240/100</f>
        <v>0</v>
      </c>
      <c r="Y240" s="2"/>
      <c r="Z240" s="6"/>
    </row>
    <row r="241" spans="1:26" ht="15.75" x14ac:dyDescent="0.25">
      <c r="A241" t="s">
        <v>7</v>
      </c>
      <c r="B241">
        <v>7</v>
      </c>
      <c r="C241">
        <v>1995</v>
      </c>
      <c r="D241" s="5">
        <v>27.6</v>
      </c>
      <c r="E241" s="5">
        <v>44.1</v>
      </c>
      <c r="F241" s="5">
        <f t="shared" si="13"/>
        <v>16.5</v>
      </c>
      <c r="G241" s="7">
        <v>1.02243364</v>
      </c>
      <c r="H241" s="7">
        <v>3.689469638739431</v>
      </c>
      <c r="I241" s="8">
        <v>38125.616384000001</v>
      </c>
      <c r="J241" s="12">
        <v>2.6679840000000001</v>
      </c>
      <c r="K241" s="7">
        <v>68.256601102719998</v>
      </c>
      <c r="L241" s="5">
        <v>0.63296043872833296</v>
      </c>
      <c r="M241" s="5">
        <v>63.296043872833295</v>
      </c>
      <c r="Q241" s="25">
        <f t="shared" si="11"/>
        <v>0</v>
      </c>
      <c r="R241">
        <v>0</v>
      </c>
      <c r="S241" s="24">
        <v>0</v>
      </c>
      <c r="T241">
        <f>Q241/100</f>
        <v>0</v>
      </c>
      <c r="U241">
        <f>R241/100</f>
        <v>0</v>
      </c>
      <c r="V241">
        <f>S241/100</f>
        <v>0</v>
      </c>
      <c r="Y241" s="2"/>
      <c r="Z241" s="6"/>
    </row>
    <row r="242" spans="1:26" ht="15.75" x14ac:dyDescent="0.25">
      <c r="A242" t="s">
        <v>7</v>
      </c>
      <c r="B242">
        <v>7</v>
      </c>
      <c r="C242">
        <v>1996</v>
      </c>
      <c r="D242" s="5">
        <v>26.7</v>
      </c>
      <c r="E242" s="5">
        <v>44</v>
      </c>
      <c r="F242" s="5">
        <f t="shared" si="13"/>
        <v>17.3</v>
      </c>
      <c r="G242" s="7">
        <v>1.01860974</v>
      </c>
      <c r="H242" s="7">
        <v>4.1343669250646</v>
      </c>
      <c r="I242" s="8">
        <v>38968.744479000001</v>
      </c>
      <c r="J242" s="12">
        <v>2.3495339999999998</v>
      </c>
      <c r="K242" s="7">
        <v>70.083671120682666</v>
      </c>
      <c r="L242" s="5">
        <v>0.62157768011093095</v>
      </c>
      <c r="M242" s="5">
        <v>62.157768011093097</v>
      </c>
      <c r="N242" s="16">
        <v>1.5661764705882353</v>
      </c>
      <c r="P242" s="16">
        <v>1.7746478873239437</v>
      </c>
      <c r="Q242" s="25">
        <f t="shared" si="11"/>
        <v>2.48644</v>
      </c>
      <c r="R242">
        <v>1.5777800000000002</v>
      </c>
      <c r="S242" s="24">
        <v>0.90866000000000002</v>
      </c>
      <c r="T242">
        <f>Q242/100</f>
        <v>2.4864399999999998E-2</v>
      </c>
      <c r="U242">
        <f>R242/100</f>
        <v>1.5777800000000002E-2</v>
      </c>
      <c r="V242">
        <f>S242/100</f>
        <v>9.0866000000000002E-3</v>
      </c>
      <c r="Y242" s="2"/>
      <c r="Z242" s="6"/>
    </row>
    <row r="243" spans="1:26" ht="15.75" x14ac:dyDescent="0.25">
      <c r="A243" t="s">
        <v>7</v>
      </c>
      <c r="B243">
        <v>7</v>
      </c>
      <c r="C243">
        <v>1997</v>
      </c>
      <c r="D243" s="5">
        <v>26.4</v>
      </c>
      <c r="E243" s="5">
        <v>44.1</v>
      </c>
      <c r="F243" s="5">
        <f t="shared" si="13"/>
        <v>17.700000000000003</v>
      </c>
      <c r="G243" s="7">
        <v>1.01305983</v>
      </c>
      <c r="H243" s="7">
        <v>4.2481977342945418</v>
      </c>
      <c r="I243" s="8">
        <v>39739.531862999997</v>
      </c>
      <c r="J243" s="12">
        <v>2.0935990000000002</v>
      </c>
      <c r="K243" s="7">
        <v>74.867690215582812</v>
      </c>
      <c r="L243" s="5">
        <v>0.61111289262771595</v>
      </c>
      <c r="M243" s="5">
        <v>61.111289262771592</v>
      </c>
      <c r="Q243" s="25">
        <f t="shared" si="11"/>
        <v>1.6438599999999999</v>
      </c>
      <c r="R243">
        <v>0.91279999999999994</v>
      </c>
      <c r="S243" s="24">
        <v>0.73105999999999993</v>
      </c>
      <c r="T243">
        <f>Q243/100</f>
        <v>1.6438599999999998E-2</v>
      </c>
      <c r="U243">
        <f>R243/100</f>
        <v>9.127999999999999E-3</v>
      </c>
      <c r="V243">
        <f>S243/100</f>
        <v>7.3105999999999996E-3</v>
      </c>
      <c r="Y243" s="2"/>
      <c r="Z243" s="6"/>
    </row>
    <row r="244" spans="1:26" ht="15.75" x14ac:dyDescent="0.25">
      <c r="A244" t="s">
        <v>7</v>
      </c>
      <c r="B244">
        <v>7</v>
      </c>
      <c r="C244">
        <v>1998</v>
      </c>
      <c r="D244" s="5">
        <v>26.4</v>
      </c>
      <c r="E244" s="5">
        <v>44.3</v>
      </c>
      <c r="F244" s="5">
        <f t="shared" si="13"/>
        <v>17.899999999999999</v>
      </c>
      <c r="G244" s="7">
        <v>1.009224669</v>
      </c>
      <c r="H244" s="7">
        <v>4.2438271604938276</v>
      </c>
      <c r="I244" s="8">
        <v>41117.631247999998</v>
      </c>
      <c r="J244" s="12">
        <v>3.581426</v>
      </c>
      <c r="K244" s="7">
        <v>76.927149391578496</v>
      </c>
      <c r="L244" s="5">
        <v>0.60789513587951705</v>
      </c>
      <c r="M244" s="5">
        <v>60.789513587951703</v>
      </c>
      <c r="Q244" s="25">
        <f t="shared" si="11"/>
        <v>0</v>
      </c>
      <c r="R244">
        <v>0</v>
      </c>
      <c r="S244" s="24">
        <v>0</v>
      </c>
      <c r="T244">
        <f>Q244/100</f>
        <v>0</v>
      </c>
      <c r="U244">
        <f>R244/100</f>
        <v>0</v>
      </c>
      <c r="V244">
        <f>S244/100</f>
        <v>0</v>
      </c>
      <c r="Y244" s="2"/>
      <c r="Z244" s="6"/>
    </row>
    <row r="245" spans="1:26" ht="15.75" x14ac:dyDescent="0.25">
      <c r="A245" t="s">
        <v>7</v>
      </c>
      <c r="B245">
        <v>7</v>
      </c>
      <c r="C245">
        <v>1999</v>
      </c>
      <c r="D245" s="5">
        <v>26.2</v>
      </c>
      <c r="E245" s="5">
        <v>44.4</v>
      </c>
      <c r="F245" s="5">
        <f t="shared" si="13"/>
        <v>18.2</v>
      </c>
      <c r="G245" s="7">
        <v>1.0056898649999999</v>
      </c>
      <c r="H245" s="7">
        <v>3.7605525709900229</v>
      </c>
      <c r="I245" s="8">
        <v>42497.151457</v>
      </c>
      <c r="J245" s="12">
        <v>3.5563310000000001</v>
      </c>
      <c r="K245" s="7">
        <v>78.260140343971557</v>
      </c>
      <c r="L245" s="5">
        <v>0.60791605710983299</v>
      </c>
      <c r="M245" s="5">
        <v>60.791605710983298</v>
      </c>
      <c r="Q245" s="25">
        <f t="shared" si="11"/>
        <v>0</v>
      </c>
      <c r="R245">
        <v>0</v>
      </c>
      <c r="S245" s="24">
        <v>0</v>
      </c>
      <c r="T245">
        <f>Q245/100</f>
        <v>0</v>
      </c>
      <c r="U245">
        <f>R245/100</f>
        <v>0</v>
      </c>
      <c r="V245">
        <f>S245/100</f>
        <v>0</v>
      </c>
      <c r="Y245" s="2"/>
      <c r="Z245" s="6"/>
    </row>
    <row r="246" spans="1:26" ht="15.75" x14ac:dyDescent="0.25">
      <c r="A246" t="s">
        <v>7</v>
      </c>
      <c r="B246">
        <v>7</v>
      </c>
      <c r="C246">
        <v>2000</v>
      </c>
      <c r="D246" s="5">
        <v>26.1</v>
      </c>
      <c r="E246" s="5">
        <v>44.6</v>
      </c>
      <c r="F246" s="5">
        <f t="shared" si="13"/>
        <v>18.5</v>
      </c>
      <c r="G246" s="7">
        <v>1.02344868</v>
      </c>
      <c r="H246" s="7">
        <v>3.5477284328739151</v>
      </c>
      <c r="I246" s="8">
        <v>43826.217463000001</v>
      </c>
      <c r="J246" s="12">
        <v>3.3757220000000001</v>
      </c>
      <c r="K246" s="7">
        <v>85.360495617923206</v>
      </c>
      <c r="L246" s="5">
        <v>0.596380054950714</v>
      </c>
      <c r="M246" s="5">
        <v>59.638005495071397</v>
      </c>
      <c r="Q246" s="25">
        <f t="shared" si="11"/>
        <v>0</v>
      </c>
      <c r="R246">
        <v>0</v>
      </c>
      <c r="S246" s="24">
        <v>0</v>
      </c>
      <c r="T246">
        <f>Q246/100</f>
        <v>0</v>
      </c>
      <c r="U246">
        <f>R246/100</f>
        <v>0</v>
      </c>
      <c r="V246">
        <f>S246/100</f>
        <v>0</v>
      </c>
      <c r="Y246" s="2"/>
      <c r="Z246" s="6"/>
    </row>
    <row r="247" spans="1:26" x14ac:dyDescent="0.25">
      <c r="A247" t="s">
        <v>7</v>
      </c>
      <c r="B247">
        <v>7</v>
      </c>
      <c r="C247">
        <v>2001</v>
      </c>
      <c r="D247" s="5">
        <v>26.3</v>
      </c>
      <c r="E247" s="5">
        <v>45.1</v>
      </c>
      <c r="F247" s="5">
        <f t="shared" si="13"/>
        <v>18.8</v>
      </c>
      <c r="G247" s="7">
        <v>1.0265</v>
      </c>
      <c r="H247" s="7">
        <v>3.581551146611698</v>
      </c>
      <c r="I247" s="8">
        <v>44212.001730000004</v>
      </c>
      <c r="J247" s="12">
        <v>1.2671680000000001</v>
      </c>
      <c r="K247" s="7">
        <v>87.536664763935249</v>
      </c>
      <c r="L247" s="5">
        <v>0.58848339319229104</v>
      </c>
      <c r="M247" s="5">
        <v>58.848339319229105</v>
      </c>
      <c r="Q247" s="25">
        <f t="shared" si="11"/>
        <v>1.1366200000000002</v>
      </c>
      <c r="R247">
        <v>0.22460000000000013</v>
      </c>
      <c r="S247" s="24">
        <v>0.91202000000000005</v>
      </c>
      <c r="T247">
        <f>Q247/100</f>
        <v>1.1366200000000002E-2</v>
      </c>
      <c r="U247">
        <f>R247/100</f>
        <v>2.2460000000000015E-3</v>
      </c>
      <c r="V247">
        <f>S247/100</f>
        <v>9.1202000000000002E-3</v>
      </c>
    </row>
    <row r="248" spans="1:26" x14ac:dyDescent="0.25">
      <c r="A248" t="s">
        <v>7</v>
      </c>
      <c r="B248">
        <v>7</v>
      </c>
      <c r="C248">
        <v>2002</v>
      </c>
      <c r="D248" s="5">
        <v>26.5</v>
      </c>
      <c r="E248" s="5">
        <v>45.5</v>
      </c>
      <c r="F248" s="5">
        <f t="shared" si="13"/>
        <v>19</v>
      </c>
      <c r="G248" s="7">
        <v>1.0181035899999999</v>
      </c>
      <c r="H248" s="7">
        <v>3.9766970618034447</v>
      </c>
      <c r="I248" s="8">
        <v>44720.715531000002</v>
      </c>
      <c r="J248" s="12">
        <v>1.651554</v>
      </c>
      <c r="K248" s="7">
        <v>86.948167999660569</v>
      </c>
      <c r="L248" s="5">
        <v>0.58400487899780296</v>
      </c>
      <c r="M248" s="5">
        <v>58.400487899780295</v>
      </c>
      <c r="Q248" s="25">
        <f t="shared" si="11"/>
        <v>1.0958000000000001</v>
      </c>
      <c r="R248">
        <v>1.1128100000000001</v>
      </c>
      <c r="S248" s="24">
        <v>-1.700999999999997E-2</v>
      </c>
      <c r="T248">
        <f>Q248/100</f>
        <v>1.0958000000000001E-2</v>
      </c>
      <c r="U248">
        <f>R248/100</f>
        <v>1.11281E-2</v>
      </c>
      <c r="V248">
        <f>S248/100</f>
        <v>-1.7009999999999969E-4</v>
      </c>
    </row>
    <row r="249" spans="1:26" x14ac:dyDescent="0.25">
      <c r="A249" t="s">
        <v>7</v>
      </c>
      <c r="B249">
        <v>7</v>
      </c>
      <c r="C249">
        <v>2003</v>
      </c>
      <c r="D249" s="5">
        <v>26.5</v>
      </c>
      <c r="E249" s="5">
        <v>45.9</v>
      </c>
      <c r="F249" s="5">
        <f t="shared" si="13"/>
        <v>19.399999999999999</v>
      </c>
      <c r="G249" s="7">
        <v>1.01355554</v>
      </c>
      <c r="H249" s="7">
        <v>4.2531898924193143</v>
      </c>
      <c r="I249" s="8">
        <v>44940.879463999998</v>
      </c>
      <c r="J249" s="12">
        <v>0.94147099999999995</v>
      </c>
      <c r="K249" s="7">
        <v>86.387382416282477</v>
      </c>
      <c r="L249" s="5">
        <v>0.58308047056198098</v>
      </c>
      <c r="M249" s="5">
        <v>58.308047056198099</v>
      </c>
      <c r="N249" s="16">
        <v>1.6804238463235199</v>
      </c>
      <c r="P249" s="16">
        <v>1.8877076984154899</v>
      </c>
      <c r="Q249" s="25">
        <f t="shared" si="11"/>
        <v>0</v>
      </c>
      <c r="R249">
        <v>0</v>
      </c>
      <c r="S249" s="24">
        <v>0</v>
      </c>
      <c r="T249">
        <f>Q249/100</f>
        <v>0</v>
      </c>
      <c r="U249">
        <f>R249/100</f>
        <v>0</v>
      </c>
      <c r="V249">
        <f>S249/100</f>
        <v>0</v>
      </c>
      <c r="W249">
        <v>0.72035000000000005</v>
      </c>
      <c r="X249">
        <v>0.36499999999999999</v>
      </c>
      <c r="Y249">
        <v>0.36499999999999999</v>
      </c>
      <c r="Z249" s="5">
        <f>Y249*100</f>
        <v>36.5</v>
      </c>
    </row>
    <row r="250" spans="1:26" x14ac:dyDescent="0.25">
      <c r="A250" t="s">
        <v>7</v>
      </c>
      <c r="B250">
        <v>7</v>
      </c>
      <c r="C250">
        <v>2004</v>
      </c>
      <c r="D250" s="5">
        <v>26.6</v>
      </c>
      <c r="E250" s="5">
        <v>46.3</v>
      </c>
      <c r="F250" s="5">
        <f t="shared" si="13"/>
        <v>19.699999999999996</v>
      </c>
      <c r="G250" s="7">
        <v>1.0206120700000001</v>
      </c>
      <c r="H250" s="7">
        <v>4.9504950495049505</v>
      </c>
      <c r="I250" s="8">
        <v>45880.729401999997</v>
      </c>
      <c r="J250" s="12">
        <v>2.7351200000000002</v>
      </c>
      <c r="K250" s="7">
        <v>90.792345692929672</v>
      </c>
      <c r="L250" s="5">
        <v>0.57262855768203702</v>
      </c>
      <c r="M250" s="5">
        <v>57.2628557682037</v>
      </c>
      <c r="N250" s="16">
        <v>1.6967448999999999</v>
      </c>
      <c r="O250" s="20">
        <v>3.2303633</v>
      </c>
      <c r="P250" s="16">
        <v>1.9038591</v>
      </c>
      <c r="Q250" s="25">
        <f t="shared" si="11"/>
        <v>0</v>
      </c>
      <c r="R250">
        <v>0</v>
      </c>
      <c r="S250" s="24">
        <v>0</v>
      </c>
      <c r="T250">
        <f>Q250/100</f>
        <v>0</v>
      </c>
      <c r="U250">
        <f>R250/100</f>
        <v>0</v>
      </c>
      <c r="V250">
        <f>S250/100</f>
        <v>0</v>
      </c>
      <c r="W250">
        <v>0.71645999999999999</v>
      </c>
      <c r="X250">
        <v>0.36</v>
      </c>
      <c r="Y250">
        <v>0.36</v>
      </c>
      <c r="Z250" s="5">
        <f t="shared" ref="Z250:Z260" si="14">Y250*100</f>
        <v>36</v>
      </c>
    </row>
    <row r="251" spans="1:26" x14ac:dyDescent="0.25">
      <c r="A251" t="s">
        <v>7</v>
      </c>
      <c r="B251">
        <v>7</v>
      </c>
      <c r="C251">
        <v>2005</v>
      </c>
      <c r="D251" s="5">
        <v>26.6</v>
      </c>
      <c r="E251" s="5">
        <v>47</v>
      </c>
      <c r="F251" s="5">
        <f t="shared" si="13"/>
        <v>20.399999999999999</v>
      </c>
      <c r="G251" s="7">
        <v>1.0229913799999999</v>
      </c>
      <c r="H251" s="7">
        <v>5.6278528032234707</v>
      </c>
      <c r="I251" s="8">
        <v>46591.873922999999</v>
      </c>
      <c r="J251" s="12">
        <v>2.244065</v>
      </c>
      <c r="K251" s="7">
        <v>94.033805683305445</v>
      </c>
      <c r="L251" s="5">
        <v>0.56361502408981301</v>
      </c>
      <c r="M251" s="5">
        <v>56.361502408981302</v>
      </c>
      <c r="N251" s="16">
        <v>1.6997097000000001</v>
      </c>
      <c r="O251" s="20">
        <v>3.2570896</v>
      </c>
      <c r="P251" s="16">
        <v>1.9162623000000001</v>
      </c>
      <c r="Q251" s="25">
        <f t="shared" si="11"/>
        <v>0</v>
      </c>
      <c r="R251">
        <v>0</v>
      </c>
      <c r="S251" s="24">
        <v>0</v>
      </c>
      <c r="T251">
        <f>Q251/100</f>
        <v>0</v>
      </c>
      <c r="U251">
        <f>R251/100</f>
        <v>0</v>
      </c>
      <c r="V251">
        <f>S251/100</f>
        <v>0</v>
      </c>
      <c r="W251">
        <v>0.72560999999999998</v>
      </c>
      <c r="X251">
        <v>0.374</v>
      </c>
      <c r="Y251">
        <v>0.374</v>
      </c>
      <c r="Z251" s="5">
        <f t="shared" si="14"/>
        <v>37.4</v>
      </c>
    </row>
    <row r="252" spans="1:26" x14ac:dyDescent="0.25">
      <c r="A252" t="s">
        <v>7</v>
      </c>
      <c r="B252">
        <v>7</v>
      </c>
      <c r="C252">
        <v>2006</v>
      </c>
      <c r="D252" s="5">
        <v>27</v>
      </c>
      <c r="E252" s="5">
        <v>47.8</v>
      </c>
      <c r="F252" s="5">
        <f t="shared" si="13"/>
        <v>20.799999999999997</v>
      </c>
      <c r="G252" s="7">
        <v>1.0144154700000001</v>
      </c>
      <c r="H252" s="7">
        <v>5.242562149778645</v>
      </c>
      <c r="I252" s="8">
        <v>47952.415595999999</v>
      </c>
      <c r="J252" s="12">
        <v>3.4540419999999998</v>
      </c>
      <c r="K252" s="7">
        <v>98.088311205343643</v>
      </c>
      <c r="L252" s="5">
        <v>0.55662834644317605</v>
      </c>
      <c r="M252" s="5">
        <v>55.662834644317606</v>
      </c>
      <c r="N252" s="16">
        <v>1.7228581999999999</v>
      </c>
      <c r="O252" s="20">
        <v>3.3040653</v>
      </c>
      <c r="P252" s="16">
        <v>1.9177812999999999</v>
      </c>
      <c r="Q252" s="25">
        <f t="shared" si="11"/>
        <v>0</v>
      </c>
      <c r="R252">
        <v>0</v>
      </c>
      <c r="S252" s="24">
        <v>0</v>
      </c>
      <c r="T252">
        <f>Q252/100</f>
        <v>0</v>
      </c>
      <c r="U252">
        <f>R252/100</f>
        <v>0</v>
      </c>
      <c r="V252">
        <f>S252/100</f>
        <v>0</v>
      </c>
      <c r="W252">
        <v>0.73455000000000004</v>
      </c>
      <c r="X252">
        <v>0.39100000000000001</v>
      </c>
      <c r="Y252">
        <v>0.39100000000000001</v>
      </c>
      <c r="Z252" s="5">
        <f t="shared" si="14"/>
        <v>39.1</v>
      </c>
    </row>
    <row r="253" spans="1:26" x14ac:dyDescent="0.25">
      <c r="A253" t="s">
        <v>7</v>
      </c>
      <c r="B253">
        <v>7</v>
      </c>
      <c r="C253">
        <v>2007</v>
      </c>
      <c r="D253" s="5">
        <v>27.7</v>
      </c>
      <c r="E253" s="5">
        <v>48.5</v>
      </c>
      <c r="F253" s="5">
        <f t="shared" si="13"/>
        <v>20.8</v>
      </c>
      <c r="G253" s="7">
        <v>1.0216855600000001</v>
      </c>
      <c r="H253" s="7">
        <v>4.857629564068211</v>
      </c>
      <c r="I253" s="8">
        <v>49576.458166999997</v>
      </c>
      <c r="J253" s="12">
        <v>3.7274150000000001</v>
      </c>
      <c r="K253" s="7">
        <v>100.73325406192599</v>
      </c>
      <c r="L253" s="5">
        <v>0.55068665742874101</v>
      </c>
      <c r="M253" s="5">
        <v>55.068665742874103</v>
      </c>
      <c r="N253" s="16">
        <v>1.7473026</v>
      </c>
      <c r="O253" s="20">
        <v>3.3660399999999999</v>
      </c>
      <c r="P253" s="16">
        <v>1.9264207</v>
      </c>
      <c r="Q253" s="25">
        <f t="shared" si="11"/>
        <v>0</v>
      </c>
      <c r="R253">
        <v>0</v>
      </c>
      <c r="S253" s="24">
        <v>0</v>
      </c>
      <c r="T253">
        <f>Q253/100</f>
        <v>0</v>
      </c>
      <c r="U253">
        <f>R253/100</f>
        <v>0</v>
      </c>
      <c r="V253">
        <f>S253/100</f>
        <v>0</v>
      </c>
      <c r="W253">
        <v>0.7429</v>
      </c>
      <c r="X253">
        <v>0.45300000000000001</v>
      </c>
      <c r="Y253">
        <v>0.45300000000000001</v>
      </c>
      <c r="Z253" s="5">
        <f t="shared" si="14"/>
        <v>45.300000000000004</v>
      </c>
    </row>
    <row r="254" spans="1:26" x14ac:dyDescent="0.25">
      <c r="A254" t="s">
        <v>7</v>
      </c>
      <c r="B254">
        <v>7</v>
      </c>
      <c r="C254">
        <v>2008</v>
      </c>
      <c r="D254" s="5">
        <v>28</v>
      </c>
      <c r="E254" s="5">
        <v>49</v>
      </c>
      <c r="F254" s="5">
        <f t="shared" si="13"/>
        <v>21</v>
      </c>
      <c r="G254" s="7">
        <v>1.0321595100000001</v>
      </c>
      <c r="H254" s="7">
        <v>4.128060489678349</v>
      </c>
      <c r="I254" s="8">
        <v>50141.196891</v>
      </c>
      <c r="J254" s="12">
        <v>1.4604239999999999</v>
      </c>
      <c r="K254" s="7">
        <v>102.0736827317061</v>
      </c>
      <c r="L254" s="5">
        <v>0.56208568811416604</v>
      </c>
      <c r="M254" s="5">
        <v>56.208568811416605</v>
      </c>
      <c r="N254" s="16">
        <v>1.7184387999999999</v>
      </c>
      <c r="O254" s="20">
        <v>3.3195849000000002</v>
      </c>
      <c r="P254" s="16">
        <v>1.9317446</v>
      </c>
      <c r="Q254" s="25">
        <f t="shared" si="11"/>
        <v>0</v>
      </c>
      <c r="R254">
        <v>0</v>
      </c>
      <c r="S254" s="24">
        <v>0</v>
      </c>
      <c r="T254">
        <f>Q254/100</f>
        <v>0</v>
      </c>
      <c r="U254">
        <f>R254/100</f>
        <v>0</v>
      </c>
      <c r="V254">
        <f>S254/100</f>
        <v>0</v>
      </c>
      <c r="W254">
        <v>0.74065999999999999</v>
      </c>
      <c r="X254">
        <v>0.46200000000000002</v>
      </c>
      <c r="Y254">
        <v>0.46200000000000002</v>
      </c>
      <c r="Z254" s="5">
        <f t="shared" si="14"/>
        <v>46.2</v>
      </c>
    </row>
    <row r="255" spans="1:26" x14ac:dyDescent="0.25">
      <c r="A255" t="s">
        <v>7</v>
      </c>
      <c r="B255">
        <v>7</v>
      </c>
      <c r="C255">
        <v>2009</v>
      </c>
      <c r="D255" s="5">
        <v>28.3</v>
      </c>
      <c r="E255" s="5">
        <v>49.6</v>
      </c>
      <c r="F255" s="5">
        <f t="shared" si="13"/>
        <v>21.3</v>
      </c>
      <c r="G255" s="7">
        <v>1.005063094</v>
      </c>
      <c r="H255" s="7">
        <v>5.3019898811540953</v>
      </c>
      <c r="I255" s="8">
        <v>48138.232375</v>
      </c>
      <c r="J255" s="12">
        <v>-3.7645780000000002</v>
      </c>
      <c r="K255" s="7">
        <v>87.062230974279558</v>
      </c>
      <c r="L255" s="5">
        <v>0.57966780662536599</v>
      </c>
      <c r="M255" s="5">
        <v>57.9667806625366</v>
      </c>
      <c r="N255" s="16">
        <v>1.7281244</v>
      </c>
      <c r="O255" s="20">
        <v>3.3606239000000002</v>
      </c>
      <c r="P255" s="16">
        <v>1.9446654999999999</v>
      </c>
      <c r="Q255" s="25">
        <f t="shared" si="11"/>
        <v>0</v>
      </c>
      <c r="R255">
        <v>0</v>
      </c>
      <c r="S255" s="24">
        <v>0</v>
      </c>
      <c r="T255">
        <f>Q255/100</f>
        <v>0</v>
      </c>
      <c r="U255">
        <f>R255/100</f>
        <v>0</v>
      </c>
      <c r="V255">
        <f>S255/100</f>
        <v>0</v>
      </c>
      <c r="W255">
        <v>0.74505999999999994</v>
      </c>
      <c r="X255">
        <v>0.47</v>
      </c>
      <c r="Y255">
        <v>0.47</v>
      </c>
      <c r="Z255" s="5">
        <f t="shared" si="14"/>
        <v>47</v>
      </c>
    </row>
    <row r="256" spans="1:26" x14ac:dyDescent="0.25">
      <c r="A256" t="s">
        <v>7</v>
      </c>
      <c r="B256">
        <v>7</v>
      </c>
      <c r="C256">
        <v>2010</v>
      </c>
      <c r="D256" s="5">
        <v>28.1</v>
      </c>
      <c r="E256" s="5">
        <v>49.7</v>
      </c>
      <c r="F256" s="5">
        <f t="shared" si="13"/>
        <v>21.6</v>
      </c>
      <c r="G256" s="7">
        <v>1.0181353200000001</v>
      </c>
      <c r="H256" s="7">
        <v>4.819848106065094</v>
      </c>
      <c r="I256" s="8">
        <v>48907.740264</v>
      </c>
      <c r="J256" s="12">
        <v>1.837094</v>
      </c>
      <c r="K256" s="7">
        <v>99.019796236956253</v>
      </c>
      <c r="L256" s="5">
        <v>0.57647615671157804</v>
      </c>
      <c r="M256" s="5">
        <v>57.647615671157801</v>
      </c>
      <c r="N256" s="16">
        <v>1.7440538999999999</v>
      </c>
      <c r="O256" s="20">
        <v>3.3852679000000001</v>
      </c>
      <c r="P256" s="16">
        <v>1.9410339999999999</v>
      </c>
      <c r="Q256" s="25">
        <f t="shared" si="11"/>
        <v>0</v>
      </c>
      <c r="R256">
        <v>0</v>
      </c>
      <c r="S256" s="24">
        <v>0</v>
      </c>
      <c r="T256">
        <f>Q256/100</f>
        <v>0</v>
      </c>
      <c r="U256">
        <f>R256/100</f>
        <v>0</v>
      </c>
      <c r="V256">
        <f>S256/100</f>
        <v>0</v>
      </c>
      <c r="W256">
        <v>0.74126000000000003</v>
      </c>
      <c r="X256">
        <v>0.46100000000000002</v>
      </c>
      <c r="Y256">
        <v>0.46100000000000002</v>
      </c>
      <c r="Z256" s="5">
        <f t="shared" si="14"/>
        <v>46.1</v>
      </c>
    </row>
    <row r="257" spans="1:26" x14ac:dyDescent="0.25">
      <c r="A257" t="s">
        <v>7</v>
      </c>
      <c r="B257">
        <v>7</v>
      </c>
      <c r="C257">
        <v>2011</v>
      </c>
      <c r="D257" s="5">
        <v>28.1</v>
      </c>
      <c r="E257" s="5">
        <v>49.9</v>
      </c>
      <c r="F257" s="5">
        <f t="shared" si="13"/>
        <v>21.799999999999997</v>
      </c>
      <c r="G257" s="7">
        <v>1.03286583</v>
      </c>
      <c r="H257" s="7">
        <v>4.5640539538060274</v>
      </c>
      <c r="I257" s="8">
        <v>50172.404689000003</v>
      </c>
      <c r="J257" s="12">
        <v>2.9227970000000001</v>
      </c>
      <c r="K257" s="7">
        <v>105.10278862972548</v>
      </c>
      <c r="L257" s="5">
        <v>0.57134014368057295</v>
      </c>
      <c r="M257" s="5">
        <v>57.134014368057294</v>
      </c>
      <c r="N257" s="16">
        <v>1.7225889999999999</v>
      </c>
      <c r="O257" s="20">
        <v>3.3434650000000001</v>
      </c>
      <c r="P257" s="16">
        <v>1.9409533999999999</v>
      </c>
      <c r="Q257" s="25">
        <f t="shared" si="11"/>
        <v>0.70543999999999996</v>
      </c>
      <c r="R257">
        <v>0.30218999999999996</v>
      </c>
      <c r="S257" s="24">
        <v>0.40325</v>
      </c>
      <c r="T257">
        <f>Q257/100</f>
        <v>7.0543999999999997E-3</v>
      </c>
      <c r="U257">
        <f>R257/100</f>
        <v>3.0218999999999997E-3</v>
      </c>
      <c r="V257">
        <f>S257/100</f>
        <v>4.0324999999999996E-3</v>
      </c>
      <c r="W257">
        <v>0.74061999999999995</v>
      </c>
      <c r="X257">
        <v>0.45800000000000002</v>
      </c>
      <c r="Y257">
        <v>0.45800000000000002</v>
      </c>
      <c r="Z257" s="5">
        <f t="shared" si="14"/>
        <v>45.800000000000004</v>
      </c>
    </row>
    <row r="258" spans="1:26" x14ac:dyDescent="0.25">
      <c r="A258" t="s">
        <v>7</v>
      </c>
      <c r="B258">
        <v>7</v>
      </c>
      <c r="C258">
        <v>2012</v>
      </c>
      <c r="D258" s="5">
        <v>27.9</v>
      </c>
      <c r="E258" s="5">
        <v>49.9</v>
      </c>
      <c r="F258" s="5">
        <f t="shared" si="13"/>
        <v>22</v>
      </c>
      <c r="G258" s="7">
        <v>1.0248567500000001</v>
      </c>
      <c r="H258" s="7">
        <v>4.8645564018354177</v>
      </c>
      <c r="I258" s="8">
        <v>50287.336152999997</v>
      </c>
      <c r="J258" s="12">
        <v>0.680446</v>
      </c>
      <c r="K258" s="7">
        <v>105.15217742783814</v>
      </c>
      <c r="L258" s="5">
        <v>0.57993036508560203</v>
      </c>
      <c r="M258" s="5">
        <v>57.993036508560202</v>
      </c>
      <c r="N258" s="16">
        <v>1.7249224000000001</v>
      </c>
      <c r="O258" s="20">
        <v>3.3541482999999999</v>
      </c>
      <c r="P258" s="16">
        <v>1.9445212999999999</v>
      </c>
      <c r="Q258" s="25">
        <f t="shared" si="11"/>
        <v>0.89437999999999995</v>
      </c>
      <c r="R258">
        <v>0.33926999999999996</v>
      </c>
      <c r="S258" s="24">
        <v>0.55510999999999999</v>
      </c>
      <c r="T258">
        <f>Q258/100</f>
        <v>8.9438E-3</v>
      </c>
      <c r="U258">
        <f>R258/100</f>
        <v>3.3926999999999998E-3</v>
      </c>
      <c r="V258">
        <f>S258/100</f>
        <v>5.5510999999999998E-3</v>
      </c>
      <c r="W258">
        <v>0.73914999999999997</v>
      </c>
      <c r="X258">
        <v>0.45500000000000002</v>
      </c>
      <c r="Y258">
        <v>0.45500000000000002</v>
      </c>
      <c r="Z258" s="5">
        <f t="shared" si="14"/>
        <v>45.5</v>
      </c>
    </row>
    <row r="259" spans="1:26" x14ac:dyDescent="0.25">
      <c r="A259" t="s">
        <v>7</v>
      </c>
      <c r="B259">
        <v>7</v>
      </c>
      <c r="C259">
        <v>2013</v>
      </c>
      <c r="D259" s="5">
        <v>27.9</v>
      </c>
      <c r="E259" s="5">
        <v>49.9</v>
      </c>
      <c r="F259" s="5">
        <f t="shared" si="13"/>
        <v>22</v>
      </c>
      <c r="G259" s="7">
        <v>1.02000158</v>
      </c>
      <c r="H259" s="7">
        <v>5.3351707277696407</v>
      </c>
      <c r="I259" s="8">
        <v>49998.030798</v>
      </c>
      <c r="J259" s="12">
        <v>2.5505E-2</v>
      </c>
      <c r="K259" s="7">
        <v>104.06641408637331</v>
      </c>
      <c r="L259" s="5">
        <v>0.58470773696899403</v>
      </c>
      <c r="M259" s="5">
        <v>58.4707736968994</v>
      </c>
      <c r="N259" s="16">
        <v>1.7097017999999999</v>
      </c>
      <c r="O259" s="20">
        <v>3.3121021000000002</v>
      </c>
      <c r="P259" s="16">
        <v>1.9372396999999999</v>
      </c>
      <c r="Q259" s="25">
        <f t="shared" ref="Q259:Q322" si="15">R259+S259</f>
        <v>0.67562999999999995</v>
      </c>
      <c r="R259">
        <v>0.33091999999999999</v>
      </c>
      <c r="S259" s="24">
        <v>0.34470999999999996</v>
      </c>
      <c r="T259">
        <f>Q259/100</f>
        <v>6.7562999999999998E-3</v>
      </c>
      <c r="U259">
        <f>R259/100</f>
        <v>3.3092E-3</v>
      </c>
      <c r="V259">
        <f>S259/100</f>
        <v>3.4470999999999998E-3</v>
      </c>
      <c r="W259">
        <v>0.73555000000000004</v>
      </c>
      <c r="X259">
        <v>0.45700000000000002</v>
      </c>
      <c r="Y259">
        <v>0.45700000000000002</v>
      </c>
      <c r="Z259" s="5">
        <f t="shared" si="14"/>
        <v>45.7</v>
      </c>
    </row>
    <row r="260" spans="1:26" x14ac:dyDescent="0.25">
      <c r="A260" t="s">
        <v>7</v>
      </c>
      <c r="B260">
        <v>7</v>
      </c>
      <c r="C260">
        <v>2014</v>
      </c>
      <c r="D260" s="5">
        <v>27.8</v>
      </c>
      <c r="E260" s="5">
        <v>49.9</v>
      </c>
      <c r="F260" s="5">
        <f t="shared" si="13"/>
        <v>22.099999999999998</v>
      </c>
      <c r="G260" s="7">
        <v>1.01605806</v>
      </c>
      <c r="H260" s="7">
        <v>5.6200983345094464</v>
      </c>
      <c r="I260" s="8">
        <v>49935.741206999999</v>
      </c>
      <c r="J260" s="12">
        <v>0.661273</v>
      </c>
      <c r="K260" s="7">
        <v>103.5035352510687</v>
      </c>
      <c r="L260" s="5">
        <v>0.58194237947464</v>
      </c>
      <c r="M260" s="5">
        <v>58.194237947464003</v>
      </c>
      <c r="N260" s="16">
        <v>1.715301</v>
      </c>
      <c r="O260" s="20">
        <v>3.3270366999999998</v>
      </c>
      <c r="P260" s="16">
        <v>1.9396226000000001</v>
      </c>
      <c r="Q260" s="25">
        <f t="shared" si="15"/>
        <v>0.72490999999999994</v>
      </c>
      <c r="R260">
        <v>0.64455999999999991</v>
      </c>
      <c r="S260" s="24">
        <v>8.0349999999999977E-2</v>
      </c>
      <c r="T260">
        <f>Q260/100</f>
        <v>7.2490999999999996E-3</v>
      </c>
      <c r="U260">
        <f>R260/100</f>
        <v>6.4455999999999992E-3</v>
      </c>
      <c r="V260">
        <f>S260/100</f>
        <v>8.0349999999999974E-4</v>
      </c>
      <c r="W260">
        <v>0.73407999999999995</v>
      </c>
      <c r="X260">
        <v>0.45200000000000001</v>
      </c>
      <c r="Y260">
        <v>0.45200000000000001</v>
      </c>
      <c r="Z260" s="5">
        <f t="shared" si="14"/>
        <v>45.2</v>
      </c>
    </row>
    <row r="261" spans="1:26" x14ac:dyDescent="0.25">
      <c r="A261" t="s">
        <v>20</v>
      </c>
      <c r="B261">
        <v>8</v>
      </c>
      <c r="C261">
        <v>1978</v>
      </c>
      <c r="D261" s="5">
        <v>25.7</v>
      </c>
      <c r="E261" s="5">
        <v>44</v>
      </c>
      <c r="F261" s="5">
        <f t="shared" si="13"/>
        <v>18.3</v>
      </c>
      <c r="G261" s="7">
        <v>1.04470595</v>
      </c>
      <c r="H261" s="7">
        <v>7.4017355793772328</v>
      </c>
      <c r="I261" s="8">
        <v>25812.534723000001</v>
      </c>
      <c r="J261" s="12">
        <v>2.8419129999999999</v>
      </c>
      <c r="K261" s="7">
        <v>92.312603937673899</v>
      </c>
      <c r="L261" s="5">
        <v>0.64463472366332997</v>
      </c>
      <c r="M261" s="5">
        <v>64.463472366332994</v>
      </c>
      <c r="Q261" s="25">
        <f t="shared" si="15"/>
        <v>0</v>
      </c>
      <c r="R261">
        <v>0</v>
      </c>
      <c r="S261" s="24">
        <v>0</v>
      </c>
      <c r="T261">
        <f>Q261/100</f>
        <v>0</v>
      </c>
      <c r="U261">
        <f>R261/100</f>
        <v>0</v>
      </c>
      <c r="V261">
        <f>S261/100</f>
        <v>0</v>
      </c>
    </row>
    <row r="262" spans="1:26" x14ac:dyDescent="0.25">
      <c r="A262" t="s">
        <v>20</v>
      </c>
      <c r="B262">
        <v>8</v>
      </c>
      <c r="C262">
        <v>1979</v>
      </c>
      <c r="D262" s="5">
        <v>24.8</v>
      </c>
      <c r="E262" s="5">
        <v>43.6</v>
      </c>
      <c r="F262" s="5">
        <f t="shared" si="13"/>
        <v>18.8</v>
      </c>
      <c r="G262" s="7">
        <v>1.0446908399999999</v>
      </c>
      <c r="H262" s="7">
        <v>7.6690211907164478</v>
      </c>
      <c r="I262" s="8">
        <v>26398.022948000002</v>
      </c>
      <c r="J262" s="12">
        <v>2.3410579999999999</v>
      </c>
      <c r="K262" s="7">
        <v>101.57297054106058</v>
      </c>
      <c r="L262" s="5">
        <v>0.64463472366332997</v>
      </c>
      <c r="M262" s="5">
        <v>64.463472366332994</v>
      </c>
      <c r="Q262" s="25">
        <f t="shared" si="15"/>
        <v>0</v>
      </c>
      <c r="R262">
        <v>0</v>
      </c>
      <c r="S262" s="24">
        <v>0</v>
      </c>
      <c r="T262">
        <f>Q262/100</f>
        <v>0</v>
      </c>
      <c r="U262">
        <f>R262/100</f>
        <v>0</v>
      </c>
      <c r="V262">
        <f>S262/100</f>
        <v>0</v>
      </c>
    </row>
    <row r="263" spans="1:26" x14ac:dyDescent="0.25">
      <c r="A263" t="s">
        <v>20</v>
      </c>
      <c r="B263">
        <v>8</v>
      </c>
      <c r="C263">
        <v>1980</v>
      </c>
      <c r="D263" s="5">
        <v>24.5</v>
      </c>
      <c r="E263" s="5">
        <v>43.4</v>
      </c>
      <c r="F263" s="5">
        <f t="shared" si="13"/>
        <v>18.899999999999999</v>
      </c>
      <c r="G263" s="7">
        <v>1.0664868999999999</v>
      </c>
      <c r="H263" s="7">
        <v>8.0924855491329488</v>
      </c>
      <c r="I263" s="8">
        <v>27552.513647</v>
      </c>
      <c r="J263" s="12">
        <v>4.479501</v>
      </c>
      <c r="K263" s="7">
        <v>103.05544778431945</v>
      </c>
      <c r="L263" s="5">
        <v>0.64463472366332997</v>
      </c>
      <c r="M263" s="5">
        <v>64.463472366332994</v>
      </c>
      <c r="Q263" s="25">
        <f t="shared" si="15"/>
        <v>0</v>
      </c>
      <c r="R263">
        <v>0</v>
      </c>
      <c r="S263" s="24">
        <v>0</v>
      </c>
      <c r="T263">
        <f>Q263/100</f>
        <v>0</v>
      </c>
      <c r="U263">
        <f>R263/100</f>
        <v>0</v>
      </c>
      <c r="V263">
        <f>S263/100</f>
        <v>0</v>
      </c>
    </row>
    <row r="264" spans="1:26" x14ac:dyDescent="0.25">
      <c r="A264" t="s">
        <v>20</v>
      </c>
      <c r="B264">
        <v>8</v>
      </c>
      <c r="C264">
        <v>1981</v>
      </c>
      <c r="D264" s="5">
        <v>24.2</v>
      </c>
      <c r="E264" s="5">
        <v>43.2</v>
      </c>
      <c r="F264" s="5">
        <f t="shared" si="13"/>
        <v>19.000000000000004</v>
      </c>
      <c r="G264" s="7">
        <v>1.07627487</v>
      </c>
      <c r="H264" s="7">
        <v>10.4</v>
      </c>
      <c r="I264" s="8">
        <v>27456.046134</v>
      </c>
      <c r="J264" s="12">
        <v>-0.27928399999999998</v>
      </c>
      <c r="K264" s="7">
        <v>110.22135214519476</v>
      </c>
      <c r="L264" s="5">
        <v>0.64463472366332997</v>
      </c>
      <c r="M264" s="5">
        <v>64.463472366332994</v>
      </c>
      <c r="N264" s="16">
        <v>1.492537</v>
      </c>
      <c r="Q264" s="25">
        <f t="shared" si="15"/>
        <v>0</v>
      </c>
      <c r="R264">
        <v>0</v>
      </c>
      <c r="S264" s="24">
        <v>0</v>
      </c>
      <c r="T264">
        <f>Q264/100</f>
        <v>0</v>
      </c>
      <c r="U264">
        <f>R264/100</f>
        <v>0</v>
      </c>
      <c r="V264">
        <f>S264/100</f>
        <v>0</v>
      </c>
    </row>
    <row r="265" spans="1:26" x14ac:dyDescent="0.25">
      <c r="A265" t="s">
        <v>20</v>
      </c>
      <c r="B265">
        <v>8</v>
      </c>
      <c r="C265">
        <v>1982</v>
      </c>
      <c r="D265" s="5">
        <v>23.9</v>
      </c>
      <c r="E265" s="5">
        <v>43.1</v>
      </c>
      <c r="F265" s="5">
        <f t="shared" si="13"/>
        <v>19.200000000000003</v>
      </c>
      <c r="G265" s="7">
        <v>1.0872654900000001</v>
      </c>
      <c r="H265" s="7">
        <v>12.167866898435561</v>
      </c>
      <c r="I265" s="8">
        <v>27597.001314000001</v>
      </c>
      <c r="J265" s="12">
        <v>0.59498700000000004</v>
      </c>
      <c r="K265" s="7">
        <v>117.92534954657199</v>
      </c>
      <c r="L265" s="5">
        <v>0.64463472366332997</v>
      </c>
      <c r="M265" s="5">
        <v>64.463472366332994</v>
      </c>
      <c r="Q265" s="25">
        <f t="shared" si="15"/>
        <v>1.7676499999999999</v>
      </c>
      <c r="R265">
        <v>1.7676499999999999</v>
      </c>
      <c r="S265" s="24">
        <v>0</v>
      </c>
      <c r="T265">
        <f>Q265/100</f>
        <v>1.7676499999999998E-2</v>
      </c>
      <c r="U265">
        <f>R265/100</f>
        <v>1.7676499999999998E-2</v>
      </c>
      <c r="V265">
        <f>S265/100</f>
        <v>0</v>
      </c>
    </row>
    <row r="266" spans="1:26" x14ac:dyDescent="0.25">
      <c r="A266" t="s">
        <v>20</v>
      </c>
      <c r="B266">
        <v>8</v>
      </c>
      <c r="C266">
        <v>1983</v>
      </c>
      <c r="D266" s="5">
        <v>23.6</v>
      </c>
      <c r="E266" s="5">
        <v>42.9</v>
      </c>
      <c r="F266" s="5">
        <f t="shared" si="13"/>
        <v>19.299999999999997</v>
      </c>
      <c r="G266" s="7">
        <v>1.0766161000000001</v>
      </c>
      <c r="H266" s="7">
        <v>13.466765505312578</v>
      </c>
      <c r="I266" s="8">
        <v>27669.032451999999</v>
      </c>
      <c r="J266" s="12">
        <v>0.31184299999999998</v>
      </c>
      <c r="K266" s="7">
        <v>120.39556251155649</v>
      </c>
      <c r="L266" s="5">
        <v>0.64463472366332997</v>
      </c>
      <c r="M266" s="5">
        <v>64.463472366332994</v>
      </c>
      <c r="Q266" s="25">
        <f t="shared" si="15"/>
        <v>1.58382</v>
      </c>
      <c r="R266">
        <v>0.96828000000000003</v>
      </c>
      <c r="S266" s="24">
        <v>0.61553999999999998</v>
      </c>
      <c r="T266">
        <f>Q266/100</f>
        <v>1.58382E-2</v>
      </c>
      <c r="U266">
        <f>R266/100</f>
        <v>9.6828000000000001E-3</v>
      </c>
      <c r="V266">
        <f>S266/100</f>
        <v>6.1554000000000001E-3</v>
      </c>
    </row>
    <row r="267" spans="1:26" x14ac:dyDescent="0.25">
      <c r="A267" t="s">
        <v>20</v>
      </c>
      <c r="B267">
        <v>8</v>
      </c>
      <c r="C267">
        <v>1984</v>
      </c>
      <c r="D267" s="5">
        <v>23.3</v>
      </c>
      <c r="E267" s="5">
        <v>42.7</v>
      </c>
      <c r="F267" s="5">
        <f t="shared" si="13"/>
        <v>19.400000000000002</v>
      </c>
      <c r="G267" s="7">
        <v>1.0634177600000001</v>
      </c>
      <c r="H267" s="7">
        <v>13.508164275111332</v>
      </c>
      <c r="I267" s="8">
        <v>28348.579809999999</v>
      </c>
      <c r="J267" s="12">
        <v>2.466383</v>
      </c>
      <c r="K267" s="7">
        <v>128.23073502544401</v>
      </c>
      <c r="L267" s="5">
        <v>0.64463472366332997</v>
      </c>
      <c r="M267" s="5">
        <v>64.463472366332994</v>
      </c>
      <c r="Q267" s="25">
        <f t="shared" si="15"/>
        <v>0.73965999999999998</v>
      </c>
      <c r="R267">
        <v>0.44022</v>
      </c>
      <c r="S267" s="24">
        <v>0.29943999999999998</v>
      </c>
      <c r="T267">
        <f>Q267/100</f>
        <v>7.3965999999999997E-3</v>
      </c>
      <c r="U267">
        <f>R267/100</f>
        <v>4.4022000000000002E-3</v>
      </c>
      <c r="V267">
        <f>S267/100</f>
        <v>2.9943999999999999E-3</v>
      </c>
    </row>
    <row r="268" spans="1:26" x14ac:dyDescent="0.25">
      <c r="A268" t="s">
        <v>20</v>
      </c>
      <c r="B268">
        <v>8</v>
      </c>
      <c r="C268">
        <v>1985</v>
      </c>
      <c r="D268" s="5">
        <v>23</v>
      </c>
      <c r="E268" s="5">
        <v>42.5</v>
      </c>
      <c r="F268" s="5">
        <f t="shared" si="13"/>
        <v>19.5</v>
      </c>
      <c r="G268" s="7">
        <v>1.0486873000000001</v>
      </c>
      <c r="H268" s="7">
        <v>12.577678349490428</v>
      </c>
      <c r="I268" s="8">
        <v>28810.992643000001</v>
      </c>
      <c r="J268" s="12">
        <v>1.6517930000000001</v>
      </c>
      <c r="K268" s="7">
        <v>123.87698609001237</v>
      </c>
      <c r="L268" s="5">
        <v>0.64463472366332997</v>
      </c>
      <c r="M268" s="5">
        <v>64.463472366332994</v>
      </c>
      <c r="N268" s="16">
        <v>1.4591171000000001</v>
      </c>
      <c r="Q268" s="25">
        <f t="shared" si="15"/>
        <v>1.8525200000000002</v>
      </c>
      <c r="R268">
        <v>1.03464</v>
      </c>
      <c r="S268" s="24">
        <v>0.81788000000000005</v>
      </c>
      <c r="T268">
        <f>Q268/100</f>
        <v>1.8525200000000002E-2</v>
      </c>
      <c r="U268">
        <f>R268/100</f>
        <v>1.03464E-2</v>
      </c>
      <c r="V268">
        <f>S268/100</f>
        <v>8.1788E-3</v>
      </c>
    </row>
    <row r="269" spans="1:26" x14ac:dyDescent="0.25">
      <c r="A269" t="s">
        <v>20</v>
      </c>
      <c r="B269">
        <v>8</v>
      </c>
      <c r="C269">
        <v>1986</v>
      </c>
      <c r="D269" s="5">
        <v>23.2</v>
      </c>
      <c r="E269" s="5">
        <v>42.8</v>
      </c>
      <c r="F269" s="5">
        <f t="shared" si="13"/>
        <v>19.599999999999998</v>
      </c>
      <c r="G269" s="7">
        <v>1.0129437100000001</v>
      </c>
      <c r="H269" s="7">
        <v>11.893505847225679</v>
      </c>
      <c r="I269" s="8">
        <v>29330.197364</v>
      </c>
      <c r="J269" s="12">
        <v>1.822762</v>
      </c>
      <c r="K269" s="7">
        <v>112.32702453385237</v>
      </c>
      <c r="L269" s="5">
        <v>0.636752068996429</v>
      </c>
      <c r="M269" s="5">
        <v>63.675206899642902</v>
      </c>
      <c r="N269" s="16">
        <v>1.4518635</v>
      </c>
      <c r="P269" s="16">
        <v>1.6534827000000001</v>
      </c>
      <c r="Q269" s="25">
        <f t="shared" si="15"/>
        <v>0</v>
      </c>
      <c r="R269">
        <v>0</v>
      </c>
      <c r="S269" s="24">
        <v>0</v>
      </c>
      <c r="T269">
        <f>Q269/100</f>
        <v>0</v>
      </c>
      <c r="U269">
        <f>R269/100</f>
        <v>0</v>
      </c>
      <c r="V269">
        <f>S269/100</f>
        <v>0</v>
      </c>
    </row>
    <row r="270" spans="1:26" x14ac:dyDescent="0.25">
      <c r="A270" t="s">
        <v>20</v>
      </c>
      <c r="B270">
        <v>8</v>
      </c>
      <c r="C270">
        <v>1987</v>
      </c>
      <c r="D270" s="5">
        <v>23.3</v>
      </c>
      <c r="E270" s="5">
        <v>43.1</v>
      </c>
      <c r="F270" s="5">
        <f t="shared" si="13"/>
        <v>19.8</v>
      </c>
      <c r="G270" s="7">
        <v>1.0155338</v>
      </c>
      <c r="H270" s="7">
        <v>11.58051689860835</v>
      </c>
      <c r="I270" s="8">
        <v>29973.302960000001</v>
      </c>
      <c r="J270" s="12">
        <v>2.3066589999999998</v>
      </c>
      <c r="K270" s="7">
        <v>109.91909992585877</v>
      </c>
      <c r="L270" s="5">
        <v>0.63119018077850297</v>
      </c>
      <c r="M270" s="5">
        <v>63.119018077850299</v>
      </c>
      <c r="N270" s="16">
        <v>1.4492094</v>
      </c>
      <c r="P270" s="16">
        <v>1.6796165000000001</v>
      </c>
      <c r="Q270" s="25">
        <f t="shared" si="15"/>
        <v>2.37127</v>
      </c>
      <c r="R270">
        <v>2.2623600000000001</v>
      </c>
      <c r="S270" s="24">
        <v>0.10891000000000001</v>
      </c>
      <c r="T270">
        <f>Q270/100</f>
        <v>2.37127E-2</v>
      </c>
      <c r="U270">
        <f>R270/100</f>
        <v>2.2623600000000001E-2</v>
      </c>
      <c r="V270">
        <f>S270/100</f>
        <v>1.0891E-3</v>
      </c>
    </row>
    <row r="271" spans="1:26" x14ac:dyDescent="0.25">
      <c r="A271" t="s">
        <v>20</v>
      </c>
      <c r="B271">
        <v>8</v>
      </c>
      <c r="C271">
        <v>1988</v>
      </c>
      <c r="D271" s="5">
        <v>23.4</v>
      </c>
      <c r="E271" s="5">
        <v>43.4</v>
      </c>
      <c r="F271" s="5">
        <f t="shared" si="13"/>
        <v>20</v>
      </c>
      <c r="G271" s="7">
        <v>1.01160936</v>
      </c>
      <c r="H271" s="7">
        <v>10.535448686167575</v>
      </c>
      <c r="I271" s="8">
        <v>31281.247588999999</v>
      </c>
      <c r="J271" s="12">
        <v>4.7232089999999998</v>
      </c>
      <c r="K271" s="7">
        <v>116.42294659326599</v>
      </c>
      <c r="L271" s="5">
        <v>0.61617451906204201</v>
      </c>
      <c r="M271" s="5">
        <v>61.617451906204202</v>
      </c>
      <c r="N271" s="16">
        <v>1.4422645000000001</v>
      </c>
      <c r="P271" s="16">
        <v>1.7018766000000001</v>
      </c>
      <c r="Q271" s="25">
        <f t="shared" si="15"/>
        <v>0</v>
      </c>
      <c r="R271">
        <v>0</v>
      </c>
      <c r="S271" s="24">
        <v>0</v>
      </c>
      <c r="T271">
        <f>Q271/100</f>
        <v>0</v>
      </c>
      <c r="U271">
        <f>R271/100</f>
        <v>0</v>
      </c>
      <c r="V271">
        <f>S271/100</f>
        <v>0</v>
      </c>
    </row>
    <row r="272" spans="1:26" x14ac:dyDescent="0.25">
      <c r="A272" t="s">
        <v>20</v>
      </c>
      <c r="B272">
        <v>8</v>
      </c>
      <c r="C272">
        <v>1989</v>
      </c>
      <c r="D272" s="5">
        <v>23.5</v>
      </c>
      <c r="E272" s="5">
        <v>44</v>
      </c>
      <c r="F272" s="5">
        <f t="shared" si="13"/>
        <v>20.5</v>
      </c>
      <c r="G272" s="7">
        <v>1.03107053</v>
      </c>
      <c r="H272" s="7">
        <v>9.4721262950172669</v>
      </c>
      <c r="I272" s="8">
        <v>32249.223707000001</v>
      </c>
      <c r="J272" s="12">
        <v>3.4691670000000001</v>
      </c>
      <c r="K272" s="7">
        <v>124.93693267963305</v>
      </c>
      <c r="L272" s="5">
        <v>0.61199527978897095</v>
      </c>
      <c r="M272" s="5">
        <v>61.199527978897095</v>
      </c>
      <c r="N272" s="16">
        <v>1.4477298000000001</v>
      </c>
      <c r="P272" s="16">
        <v>1.6093474999999999</v>
      </c>
      <c r="Q272" s="25">
        <f t="shared" si="15"/>
        <v>0</v>
      </c>
      <c r="R272">
        <v>0</v>
      </c>
      <c r="S272" s="24">
        <v>0</v>
      </c>
      <c r="T272">
        <f>Q272/100</f>
        <v>0</v>
      </c>
      <c r="U272">
        <f>R272/100</f>
        <v>0</v>
      </c>
      <c r="V272">
        <f>S272/100</f>
        <v>0</v>
      </c>
    </row>
    <row r="273" spans="1:26" x14ac:dyDescent="0.25">
      <c r="A273" t="s">
        <v>20</v>
      </c>
      <c r="B273">
        <v>8</v>
      </c>
      <c r="C273">
        <v>1990</v>
      </c>
      <c r="D273" s="5">
        <v>23.5</v>
      </c>
      <c r="E273" s="5">
        <v>44.6</v>
      </c>
      <c r="F273" s="5">
        <f t="shared" si="13"/>
        <v>21.1</v>
      </c>
      <c r="G273" s="7">
        <v>1.0344831000000001</v>
      </c>
      <c r="H273" s="7">
        <v>8.9220239550232208</v>
      </c>
      <c r="I273" s="8">
        <v>33167.581835999998</v>
      </c>
      <c r="J273" s="12">
        <v>3.1374019999999998</v>
      </c>
      <c r="K273" s="7">
        <v>121.46785107446453</v>
      </c>
      <c r="L273" s="5">
        <v>0.61892038583755504</v>
      </c>
      <c r="M273" s="5">
        <v>61.892038583755507</v>
      </c>
      <c r="N273" s="16">
        <v>1.4402366</v>
      </c>
      <c r="P273" s="16">
        <v>1.5993084071752754</v>
      </c>
      <c r="Q273" s="25">
        <f t="shared" si="15"/>
        <v>0.47723000000000004</v>
      </c>
      <c r="R273">
        <v>9.2369999999999994E-2</v>
      </c>
      <c r="S273" s="24">
        <v>0.38486000000000004</v>
      </c>
      <c r="T273">
        <f>Q273/100</f>
        <v>4.7723000000000002E-3</v>
      </c>
      <c r="U273">
        <f>R273/100</f>
        <v>9.2369999999999996E-4</v>
      </c>
      <c r="V273">
        <f>S273/100</f>
        <v>3.8486000000000002E-3</v>
      </c>
    </row>
    <row r="274" spans="1:26" x14ac:dyDescent="0.25">
      <c r="A274" t="s">
        <v>20</v>
      </c>
      <c r="B274">
        <v>8</v>
      </c>
      <c r="C274">
        <v>1991</v>
      </c>
      <c r="D274" s="5">
        <v>23.6</v>
      </c>
      <c r="E274" s="5">
        <v>45.1</v>
      </c>
      <c r="F274" s="5">
        <f t="shared" si="13"/>
        <v>21.5</v>
      </c>
      <c r="G274" s="7">
        <v>1.0321531100000001</v>
      </c>
      <c r="H274" s="7">
        <v>9.4741943300218079</v>
      </c>
      <c r="I274" s="8">
        <v>33647.298056</v>
      </c>
      <c r="J274" s="12">
        <v>1.8330740000000001</v>
      </c>
      <c r="K274" s="7">
        <v>118.59013771799043</v>
      </c>
      <c r="L274" s="5">
        <v>0.63227075338363603</v>
      </c>
      <c r="M274" s="5">
        <v>63.227075338363605</v>
      </c>
      <c r="N274" s="16">
        <v>1.4391746999999999</v>
      </c>
      <c r="P274" s="16">
        <v>1.5825236</v>
      </c>
      <c r="Q274" s="25">
        <f t="shared" si="15"/>
        <v>0</v>
      </c>
      <c r="R274">
        <v>0</v>
      </c>
      <c r="S274" s="24">
        <v>0</v>
      </c>
      <c r="T274">
        <f>Q274/100</f>
        <v>0</v>
      </c>
      <c r="U274">
        <f>R274/100</f>
        <v>0</v>
      </c>
      <c r="V274">
        <f>S274/100</f>
        <v>0</v>
      </c>
    </row>
    <row r="275" spans="1:26" x14ac:dyDescent="0.25">
      <c r="A275" t="s">
        <v>20</v>
      </c>
      <c r="B275">
        <v>8</v>
      </c>
      <c r="C275">
        <v>1992</v>
      </c>
      <c r="D275" s="5">
        <v>23.6</v>
      </c>
      <c r="E275" s="5">
        <v>45.7</v>
      </c>
      <c r="F275" s="5">
        <f t="shared" si="13"/>
        <v>22.1</v>
      </c>
      <c r="G275" s="7">
        <v>1.0242795600000001</v>
      </c>
      <c r="H275" s="7">
        <v>10.477220819810073</v>
      </c>
      <c r="I275" s="8">
        <v>34022.911749999999</v>
      </c>
      <c r="J275" s="12">
        <v>1.5306550000000001</v>
      </c>
      <c r="K275" s="7">
        <v>115.0692875016359</v>
      </c>
      <c r="L275" s="5">
        <v>0.62950432300567605</v>
      </c>
      <c r="M275" s="5">
        <v>62.950432300567606</v>
      </c>
      <c r="N275" s="16">
        <v>1.4483409</v>
      </c>
      <c r="P275" s="16">
        <v>1.5839624999999999</v>
      </c>
      <c r="Q275" s="25">
        <f t="shared" si="15"/>
        <v>1.8500099999999999</v>
      </c>
      <c r="R275">
        <v>0.82454000000000005</v>
      </c>
      <c r="S275" s="24">
        <v>1.0254699999999999</v>
      </c>
      <c r="T275">
        <f>Q275/100</f>
        <v>1.8500099999999998E-2</v>
      </c>
      <c r="U275">
        <f>R275/100</f>
        <v>8.2454E-3</v>
      </c>
      <c r="V275">
        <f>S275/100</f>
        <v>1.0254699999999999E-2</v>
      </c>
    </row>
    <row r="276" spans="1:26" x14ac:dyDescent="0.25">
      <c r="A276" t="s">
        <v>20</v>
      </c>
      <c r="B276">
        <v>8</v>
      </c>
      <c r="C276">
        <v>1993</v>
      </c>
      <c r="D276" s="5">
        <v>24.4</v>
      </c>
      <c r="E276" s="5">
        <v>46.3</v>
      </c>
      <c r="F276" s="5">
        <f t="shared" si="13"/>
        <v>21.9</v>
      </c>
      <c r="G276" s="7">
        <v>1.02754426</v>
      </c>
      <c r="H276" s="7">
        <v>12.149831329880744</v>
      </c>
      <c r="I276" s="8">
        <v>33565.361981000002</v>
      </c>
      <c r="J276" s="12">
        <v>-0.96187299999999998</v>
      </c>
      <c r="K276" s="7">
        <v>109.01273699675882</v>
      </c>
      <c r="L276" s="5">
        <v>0.63459676504135099</v>
      </c>
      <c r="M276" s="5">
        <v>63.459676504135096</v>
      </c>
      <c r="N276" s="16">
        <v>1.4283691999999999</v>
      </c>
      <c r="P276" s="16">
        <v>1.5661628000000001</v>
      </c>
      <c r="Q276" s="25">
        <f t="shared" si="15"/>
        <v>0.98238000000000003</v>
      </c>
      <c r="R276">
        <v>0.53797000000000006</v>
      </c>
      <c r="S276" s="24">
        <v>0.44441000000000003</v>
      </c>
      <c r="T276">
        <f>Q276/100</f>
        <v>9.8238000000000006E-3</v>
      </c>
      <c r="U276">
        <f>R276/100</f>
        <v>5.3797000000000003E-3</v>
      </c>
      <c r="V276">
        <f>S276/100</f>
        <v>4.4441000000000003E-3</v>
      </c>
    </row>
    <row r="277" spans="1:26" x14ac:dyDescent="0.25">
      <c r="A277" t="s">
        <v>20</v>
      </c>
      <c r="B277">
        <v>8</v>
      </c>
      <c r="C277">
        <v>1994</v>
      </c>
      <c r="D277" s="5">
        <v>25.2</v>
      </c>
      <c r="E277" s="5">
        <v>46.9</v>
      </c>
      <c r="F277" s="5">
        <f t="shared" si="13"/>
        <v>21.7</v>
      </c>
      <c r="G277" s="7">
        <v>1.02377545</v>
      </c>
      <c r="H277" s="7">
        <v>13.062578104736977</v>
      </c>
      <c r="I277" s="8">
        <v>34545.753057000002</v>
      </c>
      <c r="J277" s="12">
        <v>3.2269709999999998</v>
      </c>
      <c r="K277" s="7">
        <v>113.23230003361235</v>
      </c>
      <c r="L277" s="5">
        <v>0.62539678812027</v>
      </c>
      <c r="M277" s="5">
        <v>62.539678812026999</v>
      </c>
      <c r="N277" s="16">
        <v>1.4442808</v>
      </c>
      <c r="Q277" s="25">
        <f t="shared" si="15"/>
        <v>1.2158100000000001</v>
      </c>
      <c r="R277">
        <v>0.66154000000000002</v>
      </c>
      <c r="S277" s="24">
        <v>0.55427000000000004</v>
      </c>
      <c r="T277">
        <f>Q277/100</f>
        <v>1.21581E-2</v>
      </c>
      <c r="U277">
        <f>R277/100</f>
        <v>6.6154000000000004E-3</v>
      </c>
      <c r="V277">
        <f>S277/100</f>
        <v>5.5427000000000002E-3</v>
      </c>
    </row>
    <row r="278" spans="1:26" x14ac:dyDescent="0.25">
      <c r="A278" t="s">
        <v>20</v>
      </c>
      <c r="B278">
        <v>8</v>
      </c>
      <c r="C278">
        <v>1995</v>
      </c>
      <c r="D278" s="5">
        <v>25.7</v>
      </c>
      <c r="E278" s="5">
        <v>47.4</v>
      </c>
      <c r="F278" s="5">
        <f t="shared" si="13"/>
        <v>21.7</v>
      </c>
      <c r="G278" s="7">
        <v>1.01467961</v>
      </c>
      <c r="H278" s="7">
        <v>13.000515101849683</v>
      </c>
      <c r="I278" s="8">
        <v>35296.313098999999</v>
      </c>
      <c r="J278" s="12">
        <v>2.384757</v>
      </c>
      <c r="K278" s="7">
        <v>116.37856782132661</v>
      </c>
      <c r="L278" s="5">
        <v>0.61720252037048295</v>
      </c>
      <c r="M278" s="5">
        <v>61.720252037048297</v>
      </c>
      <c r="N278" s="16">
        <v>1.4335467</v>
      </c>
      <c r="Q278" s="25">
        <f t="shared" si="15"/>
        <v>0</v>
      </c>
      <c r="R278">
        <v>0</v>
      </c>
      <c r="S278" s="24">
        <v>0</v>
      </c>
      <c r="T278">
        <f>Q278/100</f>
        <v>0</v>
      </c>
      <c r="U278">
        <f>R278/100</f>
        <v>0</v>
      </c>
      <c r="V278">
        <f>S278/100</f>
        <v>0</v>
      </c>
      <c r="W278">
        <v>0.75658000000000003</v>
      </c>
    </row>
    <row r="279" spans="1:26" x14ac:dyDescent="0.25">
      <c r="A279" t="s">
        <v>20</v>
      </c>
      <c r="B279">
        <v>8</v>
      </c>
      <c r="C279">
        <v>1996</v>
      </c>
      <c r="D279" s="5">
        <v>25.8</v>
      </c>
      <c r="E279" s="5">
        <v>47.8</v>
      </c>
      <c r="F279" s="5">
        <f t="shared" si="13"/>
        <v>21.999999999999996</v>
      </c>
      <c r="G279" s="7">
        <v>1.02077025</v>
      </c>
      <c r="H279" s="7">
        <v>12.722320803175347</v>
      </c>
      <c r="I279" s="8">
        <v>35692.316676000002</v>
      </c>
      <c r="J279" s="12">
        <v>1.3214509999999999</v>
      </c>
      <c r="K279" s="7">
        <v>119.21277575738343</v>
      </c>
      <c r="L279" s="5">
        <v>0.6217400431633</v>
      </c>
      <c r="M279" s="5">
        <v>62.174004316329999</v>
      </c>
      <c r="Q279" s="25">
        <f t="shared" si="15"/>
        <v>1.2103699999999999</v>
      </c>
      <c r="R279">
        <v>0.46551999999999999</v>
      </c>
      <c r="S279" s="24">
        <v>0.74485000000000001</v>
      </c>
      <c r="T279">
        <f>Q279/100</f>
        <v>1.21037E-2</v>
      </c>
      <c r="U279">
        <f>R279/100</f>
        <v>4.6552E-3</v>
      </c>
      <c r="V279">
        <f>S279/100</f>
        <v>7.4485000000000003E-3</v>
      </c>
    </row>
    <row r="280" spans="1:26" ht="15.75" x14ac:dyDescent="0.25">
      <c r="A280" t="s">
        <v>20</v>
      </c>
      <c r="B280">
        <v>8</v>
      </c>
      <c r="C280">
        <v>1997</v>
      </c>
      <c r="D280" s="5">
        <v>25.8</v>
      </c>
      <c r="E280" s="5">
        <v>48.2</v>
      </c>
      <c r="F280" s="5">
        <f t="shared" si="13"/>
        <v>22.400000000000002</v>
      </c>
      <c r="G280" s="7">
        <v>1.0162815999999999</v>
      </c>
      <c r="H280" s="7">
        <v>12.563028725481082</v>
      </c>
      <c r="I280" s="8">
        <v>36959.030387999999</v>
      </c>
      <c r="J280" s="12">
        <v>3.7936580000000002</v>
      </c>
      <c r="K280" s="7">
        <v>125.6889400561799</v>
      </c>
      <c r="L280" s="5">
        <v>0.61915332078933705</v>
      </c>
      <c r="M280" s="5">
        <v>61.915332078933702</v>
      </c>
      <c r="Q280" s="25">
        <f t="shared" si="15"/>
        <v>0.37419999999999998</v>
      </c>
      <c r="R280">
        <v>0.22736000000000003</v>
      </c>
      <c r="S280" s="24">
        <v>0.14683999999999997</v>
      </c>
      <c r="T280">
        <f>Q280/100</f>
        <v>3.7419999999999997E-3</v>
      </c>
      <c r="U280">
        <f>R280/100</f>
        <v>2.2736000000000002E-3</v>
      </c>
      <c r="V280">
        <f>S280/100</f>
        <v>1.4683999999999997E-3</v>
      </c>
      <c r="W280">
        <v>0.76388</v>
      </c>
      <c r="Y280" s="2">
        <v>0.26218999999999998</v>
      </c>
      <c r="Z280" s="6">
        <f>Y280*100</f>
        <v>26.218999999999998</v>
      </c>
    </row>
    <row r="281" spans="1:26" ht="15.75" x14ac:dyDescent="0.25">
      <c r="A281" t="s">
        <v>20</v>
      </c>
      <c r="B281">
        <v>8</v>
      </c>
      <c r="C281">
        <v>1998</v>
      </c>
      <c r="D281" s="5">
        <v>26.4</v>
      </c>
      <c r="E281" s="5">
        <v>48.5</v>
      </c>
      <c r="F281" s="5">
        <f t="shared" si="13"/>
        <v>22.1</v>
      </c>
      <c r="G281" s="7">
        <v>1.0094925029999999</v>
      </c>
      <c r="H281" s="7">
        <v>11.707996385290913</v>
      </c>
      <c r="I281" s="8">
        <v>37602.840179999999</v>
      </c>
      <c r="J281" s="12">
        <v>1.961808</v>
      </c>
      <c r="K281" s="7">
        <v>124.70912262631768</v>
      </c>
      <c r="L281" s="5">
        <v>0.61694717407226596</v>
      </c>
      <c r="M281" s="5">
        <v>61.694717407226598</v>
      </c>
      <c r="Q281" s="25">
        <f t="shared" si="15"/>
        <v>0</v>
      </c>
      <c r="R281">
        <v>0</v>
      </c>
      <c r="S281" s="24">
        <v>0</v>
      </c>
      <c r="T281">
        <f>Q281/100</f>
        <v>0</v>
      </c>
      <c r="U281">
        <f>R281/100</f>
        <v>0</v>
      </c>
      <c r="V281">
        <f>S281/100</f>
        <v>0</v>
      </c>
      <c r="Y281" s="2"/>
      <c r="Z281" s="6"/>
    </row>
    <row r="282" spans="1:26" ht="15.75" x14ac:dyDescent="0.25">
      <c r="A282" t="s">
        <v>20</v>
      </c>
      <c r="B282">
        <v>8</v>
      </c>
      <c r="C282">
        <v>1999</v>
      </c>
      <c r="D282" s="5">
        <v>26.7</v>
      </c>
      <c r="E282" s="5">
        <v>48.7</v>
      </c>
      <c r="F282" s="5">
        <f t="shared" si="13"/>
        <v>22.000000000000004</v>
      </c>
      <c r="G282" s="7">
        <v>1.0112084800000001</v>
      </c>
      <c r="H282" s="7">
        <v>8.5598229159535375</v>
      </c>
      <c r="I282" s="8">
        <v>38847.440928000004</v>
      </c>
      <c r="J282" s="12">
        <v>3.5427430000000002</v>
      </c>
      <c r="K282" s="7">
        <v>125.16999054094877</v>
      </c>
      <c r="L282" s="5">
        <v>0.62435293197631803</v>
      </c>
      <c r="M282" s="5">
        <v>62.4352931976318</v>
      </c>
      <c r="N282" s="16">
        <v>1.4067190999999999</v>
      </c>
      <c r="O282" s="20">
        <v>2.3924232000000001</v>
      </c>
      <c r="P282" s="16">
        <v>1.7007114000000001</v>
      </c>
      <c r="Q282" s="25">
        <f t="shared" si="15"/>
        <v>0</v>
      </c>
      <c r="R282">
        <v>0</v>
      </c>
      <c r="S282" s="24">
        <v>0</v>
      </c>
      <c r="T282">
        <f>Q282/100</f>
        <v>0</v>
      </c>
      <c r="U282">
        <f>R282/100</f>
        <v>0</v>
      </c>
      <c r="V282">
        <f>S282/100</f>
        <v>0</v>
      </c>
      <c r="Y282" s="2"/>
      <c r="Z282" s="6"/>
    </row>
    <row r="283" spans="1:26" ht="15.75" x14ac:dyDescent="0.25">
      <c r="A283" t="s">
        <v>20</v>
      </c>
      <c r="B283">
        <v>8</v>
      </c>
      <c r="C283">
        <v>2000</v>
      </c>
      <c r="D283" s="5">
        <v>26.7</v>
      </c>
      <c r="E283" s="5">
        <v>48.8</v>
      </c>
      <c r="F283" s="5">
        <f t="shared" si="13"/>
        <v>22.099999999999998</v>
      </c>
      <c r="G283" s="7">
        <v>1.02544518</v>
      </c>
      <c r="H283" s="7">
        <v>7.0095315996955341</v>
      </c>
      <c r="I283" s="8">
        <v>40193.013937999996</v>
      </c>
      <c r="J283" s="12">
        <v>3.7166790000000001</v>
      </c>
      <c r="K283" s="7">
        <v>142.23013506703427</v>
      </c>
      <c r="L283" s="5">
        <v>0.616643667221069</v>
      </c>
      <c r="M283" s="5">
        <v>61.664366722106898</v>
      </c>
      <c r="N283" s="16">
        <v>1.3906141999999999</v>
      </c>
      <c r="O283" s="20">
        <v>2.3671498</v>
      </c>
      <c r="P283" s="16">
        <v>1.7022333000000001</v>
      </c>
      <c r="Q283" s="25">
        <f t="shared" si="15"/>
        <v>0</v>
      </c>
      <c r="R283">
        <v>0</v>
      </c>
      <c r="S283" s="24">
        <v>0</v>
      </c>
      <c r="T283">
        <f>Q283/100</f>
        <v>0</v>
      </c>
      <c r="U283">
        <f>R283/100</f>
        <v>0</v>
      </c>
      <c r="V283">
        <f>S283/100</f>
        <v>0</v>
      </c>
      <c r="W283">
        <v>0.73168999999999995</v>
      </c>
      <c r="Y283" s="2">
        <v>0.21153</v>
      </c>
      <c r="Z283" s="6">
        <f t="shared" ref="Z283:Z297" si="16">Y283*100</f>
        <v>21.152999999999999</v>
      </c>
    </row>
    <row r="284" spans="1:26" ht="15.75" x14ac:dyDescent="0.25">
      <c r="A284" t="s">
        <v>20</v>
      </c>
      <c r="B284">
        <v>8</v>
      </c>
      <c r="C284">
        <v>2001</v>
      </c>
      <c r="D284" s="5">
        <v>26.7</v>
      </c>
      <c r="E284" s="5">
        <v>48.8</v>
      </c>
      <c r="F284" s="5">
        <f t="shared" si="13"/>
        <v>22.099999999999998</v>
      </c>
      <c r="G284" s="7">
        <v>1.02469258</v>
      </c>
      <c r="H284" s="7">
        <v>6.6095957444358726</v>
      </c>
      <c r="I284" s="8">
        <v>40492.779242999997</v>
      </c>
      <c r="J284" s="12">
        <v>1.0996189999999999</v>
      </c>
      <c r="K284" s="7">
        <v>139.57683983461888</v>
      </c>
      <c r="L284" s="5">
        <v>0.62734395265579201</v>
      </c>
      <c r="M284" s="5">
        <v>62.734395265579202</v>
      </c>
      <c r="N284" s="16">
        <v>1.3763862</v>
      </c>
      <c r="O284" s="20">
        <v>2.3398564999999998</v>
      </c>
      <c r="P284" s="16">
        <v>1.7</v>
      </c>
      <c r="Q284" s="25">
        <f t="shared" si="15"/>
        <v>0</v>
      </c>
      <c r="R284">
        <v>0</v>
      </c>
      <c r="S284" s="24">
        <v>0</v>
      </c>
      <c r="T284">
        <f>Q284/100</f>
        <v>0</v>
      </c>
      <c r="U284">
        <f>R284/100</f>
        <v>0</v>
      </c>
      <c r="V284">
        <f>S284/100</f>
        <v>0</v>
      </c>
      <c r="Z284" s="6"/>
    </row>
    <row r="285" spans="1:26" ht="15.75" x14ac:dyDescent="0.25">
      <c r="A285" t="s">
        <v>20</v>
      </c>
      <c r="B285">
        <v>8</v>
      </c>
      <c r="C285">
        <v>2002</v>
      </c>
      <c r="D285" s="5">
        <v>26.7</v>
      </c>
      <c r="E285" s="5">
        <v>48.9</v>
      </c>
      <c r="F285" s="5">
        <f t="shared" si="13"/>
        <v>22.2</v>
      </c>
      <c r="G285" s="7">
        <v>1.0164521399999999</v>
      </c>
      <c r="H285" s="7">
        <v>7.5144869901147606</v>
      </c>
      <c r="I285" s="8">
        <v>41000.603358</v>
      </c>
      <c r="J285" s="12">
        <v>1.706885</v>
      </c>
      <c r="K285" s="7">
        <v>136.08514948808059</v>
      </c>
      <c r="L285" s="5">
        <v>0.63153022527694702</v>
      </c>
      <c r="M285" s="5">
        <v>63.153022527694702</v>
      </c>
      <c r="N285" s="16">
        <v>1.3683875000000001</v>
      </c>
      <c r="O285" s="20">
        <v>2.3129382000000001</v>
      </c>
      <c r="P285" s="16">
        <v>1.6902655</v>
      </c>
      <c r="Q285" s="25">
        <f t="shared" si="15"/>
        <v>0</v>
      </c>
      <c r="R285">
        <v>0</v>
      </c>
      <c r="S285" s="24">
        <v>0</v>
      </c>
      <c r="T285">
        <f>Q285/100</f>
        <v>0</v>
      </c>
      <c r="U285">
        <f>R285/100</f>
        <v>0</v>
      </c>
      <c r="V285">
        <f>S285/100</f>
        <v>0</v>
      </c>
      <c r="Z285" s="6"/>
    </row>
    <row r="286" spans="1:26" ht="15.75" x14ac:dyDescent="0.25">
      <c r="A286" t="s">
        <v>20</v>
      </c>
      <c r="B286">
        <v>8</v>
      </c>
      <c r="C286">
        <v>2003</v>
      </c>
      <c r="D286" s="5">
        <v>26.6</v>
      </c>
      <c r="E286" s="5">
        <v>48.8</v>
      </c>
      <c r="F286" s="5">
        <f t="shared" si="13"/>
        <v>22.199999999999996</v>
      </c>
      <c r="G286" s="7">
        <v>1.0158896399999999</v>
      </c>
      <c r="H286" s="7">
        <v>8.1745682605213599</v>
      </c>
      <c r="I286" s="8">
        <v>41254.504955999997</v>
      </c>
      <c r="J286" s="12">
        <v>1.0379830000000001</v>
      </c>
      <c r="K286" s="7">
        <v>132.71555283388844</v>
      </c>
      <c r="L286" s="5">
        <v>0.624384045600891</v>
      </c>
      <c r="M286" s="5">
        <v>62.438404560089097</v>
      </c>
      <c r="N286" s="16">
        <v>1.3954801999999999</v>
      </c>
      <c r="O286" s="20">
        <v>2.3948524999999998</v>
      </c>
      <c r="P286" s="16">
        <v>1.7161493000000001</v>
      </c>
      <c r="Q286" s="25">
        <f t="shared" si="15"/>
        <v>0</v>
      </c>
      <c r="R286">
        <v>0</v>
      </c>
      <c r="S286" s="24">
        <v>0</v>
      </c>
      <c r="T286">
        <f>Q286/100</f>
        <v>0</v>
      </c>
      <c r="U286">
        <f>R286/100</f>
        <v>0</v>
      </c>
      <c r="V286">
        <f>S286/100</f>
        <v>0</v>
      </c>
      <c r="W286">
        <v>0.73726000000000003</v>
      </c>
      <c r="X286">
        <v>0.31900000000000001</v>
      </c>
      <c r="Y286">
        <v>0.31900000000000001</v>
      </c>
      <c r="Z286" s="6">
        <f t="shared" si="16"/>
        <v>31.900000000000002</v>
      </c>
    </row>
    <row r="287" spans="1:26" ht="15.75" x14ac:dyDescent="0.25">
      <c r="A287" t="s">
        <v>20</v>
      </c>
      <c r="B287">
        <v>8</v>
      </c>
      <c r="C287">
        <v>2004</v>
      </c>
      <c r="D287" s="5">
        <v>26.8</v>
      </c>
      <c r="E287" s="5">
        <v>48.7</v>
      </c>
      <c r="F287" s="5">
        <f t="shared" si="13"/>
        <v>21.900000000000002</v>
      </c>
      <c r="G287" s="7">
        <v>1.0209728300000001</v>
      </c>
      <c r="H287" s="7">
        <v>8.3912485336756593</v>
      </c>
      <c r="I287" s="8">
        <v>42543.280340999998</v>
      </c>
      <c r="J287" s="12">
        <v>3.5712039999999998</v>
      </c>
      <c r="K287" s="7">
        <v>136.91840534843206</v>
      </c>
      <c r="L287" s="5">
        <v>0.60980695486068703</v>
      </c>
      <c r="M287" s="5">
        <v>60.980695486068704</v>
      </c>
      <c r="N287" s="16">
        <v>1.4006061000000001</v>
      </c>
      <c r="O287" s="20">
        <v>2.4642423999999998</v>
      </c>
      <c r="P287" s="16">
        <v>1.7594114999999999</v>
      </c>
      <c r="Q287" s="25">
        <f t="shared" si="15"/>
        <v>0</v>
      </c>
      <c r="R287">
        <v>0</v>
      </c>
      <c r="S287" s="24">
        <v>0</v>
      </c>
      <c r="T287">
        <f>Q287/100</f>
        <v>0</v>
      </c>
      <c r="U287">
        <f>R287/100</f>
        <v>0</v>
      </c>
      <c r="V287">
        <f>S287/100</f>
        <v>0</v>
      </c>
      <c r="W287">
        <v>0.75202999999999998</v>
      </c>
      <c r="X287">
        <v>0.29099999999999998</v>
      </c>
      <c r="Y287">
        <v>0.29099999999999998</v>
      </c>
      <c r="Z287" s="6">
        <f t="shared" si="16"/>
        <v>29.099999999999998</v>
      </c>
    </row>
    <row r="288" spans="1:26" ht="15.75" x14ac:dyDescent="0.25">
      <c r="A288" t="s">
        <v>20</v>
      </c>
      <c r="B288">
        <v>8</v>
      </c>
      <c r="C288">
        <v>2005</v>
      </c>
      <c r="D288" s="5">
        <v>26.9</v>
      </c>
      <c r="E288" s="5">
        <v>48.5</v>
      </c>
      <c r="F288" s="5">
        <f t="shared" si="13"/>
        <v>21.6</v>
      </c>
      <c r="G288" s="7">
        <v>1.02781433</v>
      </c>
      <c r="H288" s="7">
        <v>8.4400704735345933</v>
      </c>
      <c r="I288" s="8">
        <v>43290.084484999999</v>
      </c>
      <c r="J288" s="12">
        <v>2.3217370000000002</v>
      </c>
      <c r="K288" s="7">
        <v>144.52905066998326</v>
      </c>
      <c r="L288" s="5">
        <v>0.60296809673309304</v>
      </c>
      <c r="M288" s="5">
        <v>60.296809673309305</v>
      </c>
      <c r="N288" s="16">
        <v>1.4</v>
      </c>
      <c r="O288" s="20">
        <v>2.4888889000000001</v>
      </c>
      <c r="P288" s="16">
        <v>1.7777778</v>
      </c>
      <c r="Q288" s="25">
        <f t="shared" si="15"/>
        <v>0</v>
      </c>
      <c r="R288">
        <v>0</v>
      </c>
      <c r="S288" s="24">
        <v>0</v>
      </c>
      <c r="T288">
        <f>Q288/100</f>
        <v>0</v>
      </c>
      <c r="U288">
        <f>R288/100</f>
        <v>0</v>
      </c>
      <c r="V288">
        <f>S288/100</f>
        <v>0</v>
      </c>
      <c r="W288">
        <v>0.74006000000000005</v>
      </c>
      <c r="X288">
        <v>0.30099999999999999</v>
      </c>
      <c r="Y288">
        <v>0.30099999999999999</v>
      </c>
      <c r="Z288" s="6">
        <f t="shared" si="16"/>
        <v>30.099999999999998</v>
      </c>
    </row>
    <row r="289" spans="1:26" ht="15.75" x14ac:dyDescent="0.25">
      <c r="A289" t="s">
        <v>20</v>
      </c>
      <c r="B289">
        <v>8</v>
      </c>
      <c r="C289">
        <v>2006</v>
      </c>
      <c r="D289" s="5">
        <v>27</v>
      </c>
      <c r="E289" s="5">
        <v>48.3</v>
      </c>
      <c r="F289" s="5">
        <f t="shared" si="13"/>
        <v>21.299999999999997</v>
      </c>
      <c r="G289" s="7">
        <v>1.0179120800000001</v>
      </c>
      <c r="H289" s="7">
        <v>8.2464521265722013</v>
      </c>
      <c r="I289" s="8">
        <v>44104.587959999997</v>
      </c>
      <c r="J289" s="12">
        <v>2.5523500000000001</v>
      </c>
      <c r="K289" s="7">
        <v>149.56750929951116</v>
      </c>
      <c r="L289" s="5">
        <v>0.60329127311706499</v>
      </c>
      <c r="M289" s="5">
        <v>60.3291273117065</v>
      </c>
      <c r="N289" s="16">
        <v>1.3924638</v>
      </c>
      <c r="O289" s="20">
        <v>2.4289855</v>
      </c>
      <c r="P289" s="16">
        <v>1.7443797000000001</v>
      </c>
      <c r="Q289" s="25">
        <f t="shared" si="15"/>
        <v>0</v>
      </c>
      <c r="R289">
        <v>0</v>
      </c>
      <c r="S289" s="24">
        <v>0</v>
      </c>
      <c r="T289">
        <f>Q289/100</f>
        <v>0</v>
      </c>
      <c r="U289">
        <f>R289/100</f>
        <v>0</v>
      </c>
      <c r="V289">
        <f>S289/100</f>
        <v>0</v>
      </c>
      <c r="W289">
        <v>0.73890999999999996</v>
      </c>
      <c r="X289">
        <v>0.315</v>
      </c>
      <c r="Y289">
        <v>0.315</v>
      </c>
      <c r="Z289" s="6">
        <f t="shared" si="16"/>
        <v>31.5</v>
      </c>
    </row>
    <row r="290" spans="1:26" ht="15.75" x14ac:dyDescent="0.25">
      <c r="A290" t="s">
        <v>20</v>
      </c>
      <c r="B290">
        <v>8</v>
      </c>
      <c r="C290">
        <v>2007</v>
      </c>
      <c r="D290" s="5">
        <v>26.9</v>
      </c>
      <c r="E290" s="5">
        <v>48.2</v>
      </c>
      <c r="F290" s="5">
        <f t="shared" si="13"/>
        <v>21.300000000000004</v>
      </c>
      <c r="G290" s="7">
        <v>1.0182305599999999</v>
      </c>
      <c r="H290" s="7">
        <v>7.458705080054302</v>
      </c>
      <c r="I290" s="8">
        <v>45390.608272999998</v>
      </c>
      <c r="J290" s="12">
        <v>3.6768809999999998</v>
      </c>
      <c r="K290" s="7">
        <v>152.46844687530285</v>
      </c>
      <c r="L290" s="5">
        <v>0.60006719827652</v>
      </c>
      <c r="M290" s="5">
        <v>60.006719827651999</v>
      </c>
      <c r="N290" s="16">
        <v>1.3752074999999999</v>
      </c>
      <c r="O290" s="20">
        <v>2.3320420999999998</v>
      </c>
      <c r="P290" s="16">
        <v>1.6957746</v>
      </c>
      <c r="Q290" s="25">
        <f t="shared" si="15"/>
        <v>0</v>
      </c>
      <c r="R290">
        <v>0</v>
      </c>
      <c r="S290" s="24">
        <v>0</v>
      </c>
      <c r="T290">
        <f>Q290/100</f>
        <v>0</v>
      </c>
      <c r="U290">
        <f>R290/100</f>
        <v>0</v>
      </c>
      <c r="V290">
        <f>S290/100</f>
        <v>0</v>
      </c>
      <c r="W290">
        <v>0.73097999999999996</v>
      </c>
      <c r="X290">
        <v>0.318</v>
      </c>
      <c r="Y290">
        <v>0.318</v>
      </c>
      <c r="Z290" s="6">
        <f t="shared" si="16"/>
        <v>31.8</v>
      </c>
    </row>
    <row r="291" spans="1:26" ht="15.75" x14ac:dyDescent="0.25">
      <c r="A291" t="s">
        <v>20</v>
      </c>
      <c r="B291">
        <v>8</v>
      </c>
      <c r="C291">
        <v>2008</v>
      </c>
      <c r="D291" s="5">
        <v>26.6</v>
      </c>
      <c r="E291" s="5">
        <v>48</v>
      </c>
      <c r="F291" s="5">
        <f t="shared" si="13"/>
        <v>21.4</v>
      </c>
      <c r="G291" s="7">
        <v>1.04489444</v>
      </c>
      <c r="H291" s="7">
        <v>6.9753938861339533</v>
      </c>
      <c r="I291" s="8">
        <v>45235.876085999997</v>
      </c>
      <c r="J291" s="12">
        <v>0.44692900000000002</v>
      </c>
      <c r="K291" s="7">
        <v>161.08844779044708</v>
      </c>
      <c r="L291" s="5">
        <v>0.61820930242538497</v>
      </c>
      <c r="M291" s="5">
        <v>61.820930242538495</v>
      </c>
      <c r="N291" s="16">
        <v>1.3579277999999999</v>
      </c>
      <c r="O291" s="20">
        <v>2.2517007000000002</v>
      </c>
      <c r="P291" s="16">
        <v>1.6581888</v>
      </c>
      <c r="Q291" s="25">
        <f t="shared" si="15"/>
        <v>0</v>
      </c>
      <c r="R291">
        <v>0</v>
      </c>
      <c r="S291" s="24">
        <v>0</v>
      </c>
      <c r="T291">
        <f>Q291/100</f>
        <v>0</v>
      </c>
      <c r="U291">
        <f>R291/100</f>
        <v>0</v>
      </c>
      <c r="V291">
        <f>S291/100</f>
        <v>0</v>
      </c>
      <c r="W291">
        <v>0.72928999999999999</v>
      </c>
      <c r="X291">
        <v>0.315</v>
      </c>
      <c r="Y291">
        <v>0.315</v>
      </c>
      <c r="Z291" s="6">
        <f t="shared" si="16"/>
        <v>31.5</v>
      </c>
    </row>
    <row r="292" spans="1:26" ht="15.75" x14ac:dyDescent="0.25">
      <c r="A292" t="s">
        <v>20</v>
      </c>
      <c r="B292">
        <v>8</v>
      </c>
      <c r="C292">
        <v>2009</v>
      </c>
      <c r="D292" s="5">
        <v>26.6</v>
      </c>
      <c r="E292" s="5">
        <v>48.2</v>
      </c>
      <c r="F292" s="5">
        <f t="shared" si="13"/>
        <v>21.6</v>
      </c>
      <c r="G292" s="7">
        <v>0.99946854330000001</v>
      </c>
      <c r="H292" s="7">
        <v>7.9078802776924251</v>
      </c>
      <c r="I292" s="8">
        <v>43968.711840000004</v>
      </c>
      <c r="J292" s="12">
        <v>-2.020743</v>
      </c>
      <c r="K292" s="7">
        <v>135.40604053189745</v>
      </c>
      <c r="L292" s="5">
        <v>0.63093203306198098</v>
      </c>
      <c r="M292" s="5">
        <v>63.093203306198099</v>
      </c>
      <c r="N292" s="16">
        <v>1.3568123000000001</v>
      </c>
      <c r="O292" s="20">
        <v>2.3002571000000001</v>
      </c>
      <c r="P292" s="16">
        <v>1.6953391</v>
      </c>
      <c r="Q292" s="25">
        <f t="shared" si="15"/>
        <v>0</v>
      </c>
      <c r="R292">
        <v>0</v>
      </c>
      <c r="S292" s="24">
        <v>0</v>
      </c>
      <c r="T292">
        <f>Q292/100</f>
        <v>0</v>
      </c>
      <c r="U292">
        <f>R292/100</f>
        <v>0</v>
      </c>
      <c r="V292">
        <f>S292/100</f>
        <v>0</v>
      </c>
      <c r="W292">
        <v>0.73282000000000003</v>
      </c>
      <c r="X292">
        <v>0.312</v>
      </c>
      <c r="Y292">
        <v>0.312</v>
      </c>
      <c r="Z292" s="6">
        <f t="shared" si="16"/>
        <v>31.2</v>
      </c>
    </row>
    <row r="293" spans="1:26" ht="15.75" x14ac:dyDescent="0.25">
      <c r="A293" t="s">
        <v>20</v>
      </c>
      <c r="B293">
        <v>8</v>
      </c>
      <c r="C293">
        <v>2010</v>
      </c>
      <c r="D293" s="5">
        <v>26.5</v>
      </c>
      <c r="E293" s="5">
        <v>48.5</v>
      </c>
      <c r="F293" s="5">
        <f t="shared" si="13"/>
        <v>22</v>
      </c>
      <c r="G293" s="7">
        <v>1.02189299</v>
      </c>
      <c r="H293" s="7">
        <v>8.2928124872308242</v>
      </c>
      <c r="I293" s="8">
        <v>44813.015381999998</v>
      </c>
      <c r="J293" s="12">
        <v>2.864293</v>
      </c>
      <c r="K293" s="7">
        <v>149.99767307438646</v>
      </c>
      <c r="L293" s="5">
        <v>0.61381405591964699</v>
      </c>
      <c r="M293" s="5">
        <v>61.3814055919647</v>
      </c>
      <c r="N293" s="16">
        <v>1.3726487000000001</v>
      </c>
      <c r="O293" s="20">
        <v>2.3787493999999998</v>
      </c>
      <c r="P293" s="16">
        <v>1.732963</v>
      </c>
      <c r="Q293" s="25">
        <f t="shared" si="15"/>
        <v>1.0442799999999999</v>
      </c>
      <c r="R293">
        <v>0.82980999999999994</v>
      </c>
      <c r="S293" s="24">
        <v>0.21446999999999999</v>
      </c>
      <c r="T293">
        <f>Q293/100</f>
        <v>1.0442799999999999E-2</v>
      </c>
      <c r="U293">
        <f>R293/100</f>
        <v>8.2980999999999992E-3</v>
      </c>
      <c r="V293">
        <f>S293/100</f>
        <v>2.1446999999999998E-3</v>
      </c>
      <c r="W293">
        <v>0.73334999999999995</v>
      </c>
      <c r="X293">
        <v>0.307</v>
      </c>
      <c r="Y293">
        <v>0.307</v>
      </c>
      <c r="Z293" s="6">
        <f t="shared" si="16"/>
        <v>30.7</v>
      </c>
    </row>
    <row r="294" spans="1:26" ht="15.75" x14ac:dyDescent="0.25">
      <c r="A294" t="s">
        <v>20</v>
      </c>
      <c r="B294">
        <v>8</v>
      </c>
      <c r="C294">
        <v>2011</v>
      </c>
      <c r="D294" s="5">
        <v>26.6</v>
      </c>
      <c r="E294" s="5">
        <v>48.8</v>
      </c>
      <c r="F294" s="5">
        <f t="shared" si="13"/>
        <v>22.199999999999996</v>
      </c>
      <c r="G294" s="7">
        <v>1.0353208199999999</v>
      </c>
      <c r="H294" s="7">
        <v>7.1396946014683023</v>
      </c>
      <c r="I294" s="8">
        <v>44986.105489000001</v>
      </c>
      <c r="J294" s="12">
        <v>1.6945140000000001</v>
      </c>
      <c r="K294" s="7">
        <v>161.49372366463297</v>
      </c>
      <c r="L294" s="5">
        <v>0.61833721399307295</v>
      </c>
      <c r="M294" s="5">
        <v>61.833721399307294</v>
      </c>
      <c r="N294" s="16">
        <v>1.3859296000000001</v>
      </c>
      <c r="O294" s="20">
        <v>2.4472361999999999</v>
      </c>
      <c r="P294" s="16">
        <v>1.7657723000000001</v>
      </c>
      <c r="Q294" s="25">
        <f t="shared" si="15"/>
        <v>0.84055999999999997</v>
      </c>
      <c r="R294">
        <v>0.33806999999999998</v>
      </c>
      <c r="S294" s="24">
        <v>0.50248999999999999</v>
      </c>
      <c r="T294">
        <f>Q294/100</f>
        <v>8.4055999999999992E-3</v>
      </c>
      <c r="U294">
        <f>R294/100</f>
        <v>3.3806999999999999E-3</v>
      </c>
      <c r="V294">
        <f>S294/100</f>
        <v>5.0248999999999997E-3</v>
      </c>
      <c r="W294">
        <v>0.73346999999999996</v>
      </c>
      <c r="X294">
        <v>0.317</v>
      </c>
      <c r="Y294">
        <v>0.317</v>
      </c>
      <c r="Z294" s="6">
        <f t="shared" si="16"/>
        <v>31.7</v>
      </c>
    </row>
    <row r="295" spans="1:26" ht="15.75" x14ac:dyDescent="0.25">
      <c r="A295" t="s">
        <v>20</v>
      </c>
      <c r="B295">
        <v>8</v>
      </c>
      <c r="C295">
        <v>2012</v>
      </c>
      <c r="D295" s="5">
        <v>26.5</v>
      </c>
      <c r="E295" s="5">
        <v>48.9</v>
      </c>
      <c r="F295" s="5">
        <f t="shared" si="13"/>
        <v>22.4</v>
      </c>
      <c r="G295" s="7">
        <v>1.02839664</v>
      </c>
      <c r="H295" s="7">
        <v>7.5415012492527467</v>
      </c>
      <c r="I295" s="8">
        <v>45037.117569000002</v>
      </c>
      <c r="J295" s="12">
        <v>0.73921700000000001</v>
      </c>
      <c r="K295" s="7">
        <v>160.74603022932368</v>
      </c>
      <c r="L295" s="5">
        <v>0.62331724166870095</v>
      </c>
      <c r="M295" s="5">
        <v>62.331724166870096</v>
      </c>
      <c r="N295" s="16">
        <v>1.4091587999999999</v>
      </c>
      <c r="O295" s="20">
        <v>2.4733698</v>
      </c>
      <c r="P295" s="16">
        <v>1.7552102000000001</v>
      </c>
      <c r="Q295" s="25">
        <f t="shared" si="15"/>
        <v>2.4319699999999997</v>
      </c>
      <c r="R295">
        <v>1.5807799999999999</v>
      </c>
      <c r="S295" s="24">
        <v>0.85119</v>
      </c>
      <c r="T295">
        <f>Q295/100</f>
        <v>2.4319699999999996E-2</v>
      </c>
      <c r="U295">
        <f>R295/100</f>
        <v>1.5807799999999997E-2</v>
      </c>
      <c r="V295">
        <f>S295/100</f>
        <v>8.5118999999999993E-3</v>
      </c>
      <c r="W295">
        <v>0.72851999999999995</v>
      </c>
      <c r="X295">
        <v>0.30599999999999999</v>
      </c>
      <c r="Y295">
        <v>0.30599999999999999</v>
      </c>
      <c r="Z295" s="6">
        <f t="shared" si="16"/>
        <v>30.599999999999998</v>
      </c>
    </row>
    <row r="296" spans="1:26" ht="15.75" x14ac:dyDescent="0.25">
      <c r="A296" t="s">
        <v>20</v>
      </c>
      <c r="B296">
        <v>8</v>
      </c>
      <c r="C296">
        <v>2013</v>
      </c>
      <c r="D296" s="5">
        <v>26.4</v>
      </c>
      <c r="E296" s="5">
        <v>49.2</v>
      </c>
      <c r="F296" s="5">
        <f t="shared" si="13"/>
        <v>22.800000000000004</v>
      </c>
      <c r="G296" s="7">
        <v>1.01113096</v>
      </c>
      <c r="H296" s="7">
        <v>8.4256007276953788</v>
      </c>
      <c r="I296" s="8">
        <v>45033.114032999998</v>
      </c>
      <c r="J296" s="12">
        <v>0.45924199999999998</v>
      </c>
      <c r="K296" s="7">
        <v>157.85084504174301</v>
      </c>
      <c r="L296" s="5">
        <v>0.62487530708312999</v>
      </c>
      <c r="M296" s="5">
        <v>62.487530708313002</v>
      </c>
      <c r="N296" s="16">
        <v>1.3928746000000001</v>
      </c>
      <c r="O296" s="20">
        <v>2.4587604000000001</v>
      </c>
      <c r="P296" s="16">
        <v>1.7652418000000001</v>
      </c>
      <c r="Q296" s="25">
        <f t="shared" si="15"/>
        <v>1.7135400000000001</v>
      </c>
      <c r="R296">
        <v>1.07721</v>
      </c>
      <c r="S296" s="24">
        <v>0.63633000000000006</v>
      </c>
      <c r="T296">
        <f>Q296/100</f>
        <v>1.7135400000000002E-2</v>
      </c>
      <c r="U296">
        <f>R296/100</f>
        <v>1.07721E-2</v>
      </c>
      <c r="V296">
        <f>S296/100</f>
        <v>6.3633000000000006E-3</v>
      </c>
      <c r="W296">
        <v>0.73245000000000005</v>
      </c>
      <c r="X296">
        <v>0.30299999999999999</v>
      </c>
      <c r="Y296">
        <v>0.30299999999999999</v>
      </c>
      <c r="Z296" s="6">
        <f>Y296*100</f>
        <v>30.3</v>
      </c>
    </row>
    <row r="297" spans="1:26" ht="15.75" x14ac:dyDescent="0.25">
      <c r="A297" t="s">
        <v>20</v>
      </c>
      <c r="B297">
        <v>8</v>
      </c>
      <c r="C297">
        <v>2014</v>
      </c>
      <c r="D297" s="5">
        <v>26.4</v>
      </c>
      <c r="E297" s="5">
        <v>49.3</v>
      </c>
      <c r="F297" s="5">
        <f t="shared" ref="F297:F360" si="17">E297-D297</f>
        <v>22.9</v>
      </c>
      <c r="G297" s="7">
        <v>1.0034000279999999</v>
      </c>
      <c r="H297" s="7">
        <v>8.5230075399901342</v>
      </c>
      <c r="I297" s="8">
        <v>45539.926450999999</v>
      </c>
      <c r="J297" s="12">
        <v>1.578533</v>
      </c>
      <c r="K297" s="7">
        <v>158.78321591907562</v>
      </c>
      <c r="L297" s="5">
        <v>0.61700516939163197</v>
      </c>
      <c r="M297" s="5">
        <v>61.700516939163194</v>
      </c>
      <c r="N297" s="16">
        <v>1.3405404999999999</v>
      </c>
      <c r="O297" s="20">
        <v>2.3324324000000001</v>
      </c>
      <c r="P297" s="16">
        <v>1.7399194</v>
      </c>
      <c r="Q297" s="25">
        <f t="shared" si="15"/>
        <v>0.77488999999999997</v>
      </c>
      <c r="R297">
        <v>0.61329</v>
      </c>
      <c r="S297" s="24">
        <v>0.16159999999999999</v>
      </c>
      <c r="T297">
        <f>Q297/100</f>
        <v>7.7488999999999995E-3</v>
      </c>
      <c r="U297">
        <f>R297/100</f>
        <v>6.1329000000000002E-3</v>
      </c>
      <c r="V297">
        <f>S297/100</f>
        <v>1.616E-3</v>
      </c>
      <c r="W297">
        <v>0.73468</v>
      </c>
      <c r="X297">
        <v>0.29899999999999999</v>
      </c>
      <c r="Y297">
        <v>0.29899999999999999</v>
      </c>
      <c r="Z297" s="6">
        <f t="shared" si="16"/>
        <v>29.9</v>
      </c>
    </row>
    <row r="298" spans="1:26" x14ac:dyDescent="0.25">
      <c r="A298" t="s">
        <v>8</v>
      </c>
      <c r="B298">
        <v>9</v>
      </c>
      <c r="C298">
        <v>1978</v>
      </c>
      <c r="D298" s="5">
        <v>28.5</v>
      </c>
      <c r="E298" s="5">
        <v>40.799999999999997</v>
      </c>
      <c r="F298" s="5">
        <f t="shared" si="17"/>
        <v>12.299999999999997</v>
      </c>
      <c r="G298" s="7">
        <v>1.0897372299999999</v>
      </c>
      <c r="H298" s="7">
        <v>8.375640656699451</v>
      </c>
      <c r="I298" s="8">
        <v>27322.668779</v>
      </c>
      <c r="J298" s="12">
        <v>3.7358980000000002</v>
      </c>
      <c r="K298" s="7">
        <v>48.844517999706014</v>
      </c>
      <c r="L298" s="5">
        <v>0.70786964893341098</v>
      </c>
      <c r="M298" s="5">
        <v>70.786964893341093</v>
      </c>
      <c r="Q298" s="25">
        <f t="shared" si="15"/>
        <v>0</v>
      </c>
      <c r="R298">
        <v>0</v>
      </c>
      <c r="S298" s="24">
        <v>0</v>
      </c>
      <c r="T298">
        <f>Q298/100</f>
        <v>0</v>
      </c>
      <c r="U298">
        <f>R298/100</f>
        <v>0</v>
      </c>
      <c r="V298">
        <f>S298/100</f>
        <v>0</v>
      </c>
    </row>
    <row r="299" spans="1:26" x14ac:dyDescent="0.25">
      <c r="A299" t="s">
        <v>8</v>
      </c>
      <c r="B299">
        <v>9</v>
      </c>
      <c r="C299">
        <v>1979</v>
      </c>
      <c r="D299" s="5">
        <v>29.6</v>
      </c>
      <c r="E299" s="5">
        <v>39.700000000000003</v>
      </c>
      <c r="F299" s="5">
        <f t="shared" si="17"/>
        <v>10.100000000000001</v>
      </c>
      <c r="G299" s="7">
        <v>1.0914467699999999</v>
      </c>
      <c r="H299" s="7">
        <v>7.5253910990298811</v>
      </c>
      <c r="I299" s="8">
        <v>28061.387019999998</v>
      </c>
      <c r="J299" s="12">
        <v>3.7251859999999999</v>
      </c>
      <c r="K299" s="7">
        <v>52.23804738287474</v>
      </c>
      <c r="L299" s="5">
        <v>0.68354266881942705</v>
      </c>
      <c r="M299" s="5">
        <v>68.354266881942706</v>
      </c>
      <c r="Q299" s="25">
        <f t="shared" si="15"/>
        <v>0</v>
      </c>
      <c r="R299">
        <v>0</v>
      </c>
      <c r="S299" s="24">
        <v>0</v>
      </c>
      <c r="T299">
        <f>Q299/100</f>
        <v>0</v>
      </c>
      <c r="U299">
        <f>R299/100</f>
        <v>0</v>
      </c>
      <c r="V299">
        <f>S299/100</f>
        <v>0</v>
      </c>
    </row>
    <row r="300" spans="1:26" x14ac:dyDescent="0.25">
      <c r="A300" t="s">
        <v>8</v>
      </c>
      <c r="B300">
        <v>9</v>
      </c>
      <c r="C300">
        <v>1980</v>
      </c>
      <c r="D300" s="5">
        <v>28.4</v>
      </c>
      <c r="E300" s="5">
        <v>40.200000000000003</v>
      </c>
      <c r="F300" s="5">
        <f t="shared" si="17"/>
        <v>11.800000000000004</v>
      </c>
      <c r="G300" s="7">
        <v>1.1012922000000001</v>
      </c>
      <c r="H300" s="7">
        <v>7.536735533955083</v>
      </c>
      <c r="I300" s="8">
        <v>28304.939797999999</v>
      </c>
      <c r="J300" s="12">
        <v>2.1771400000000001</v>
      </c>
      <c r="K300" s="7">
        <v>53.317975724381114</v>
      </c>
      <c r="L300" s="5">
        <v>0.67041498422622703</v>
      </c>
      <c r="M300" s="5">
        <v>67.041498422622709</v>
      </c>
      <c r="Q300" s="25">
        <f t="shared" si="15"/>
        <v>0</v>
      </c>
      <c r="R300">
        <v>0</v>
      </c>
      <c r="S300" s="24">
        <v>0</v>
      </c>
      <c r="T300">
        <f>Q300/100</f>
        <v>0</v>
      </c>
      <c r="U300">
        <f>R300/100</f>
        <v>0</v>
      </c>
      <c r="V300">
        <f>S300/100</f>
        <v>0</v>
      </c>
    </row>
    <row r="301" spans="1:26" x14ac:dyDescent="0.25">
      <c r="A301" t="s">
        <v>8</v>
      </c>
      <c r="B301">
        <v>9</v>
      </c>
      <c r="C301">
        <v>1981</v>
      </c>
      <c r="D301" s="5">
        <v>29.4</v>
      </c>
      <c r="E301" s="5">
        <v>39.5</v>
      </c>
      <c r="F301" s="5">
        <f t="shared" si="17"/>
        <v>10.100000000000001</v>
      </c>
      <c r="G301" s="7">
        <v>1.1247161000000001</v>
      </c>
      <c r="H301" s="7">
        <v>7.6071052042282412</v>
      </c>
      <c r="I301" s="8">
        <v>28919.651129000002</v>
      </c>
      <c r="J301" s="12">
        <v>3.4397329999999999</v>
      </c>
      <c r="K301" s="7">
        <v>52.102574126257608</v>
      </c>
      <c r="L301" s="5">
        <v>0.69273608922958396</v>
      </c>
      <c r="M301" s="5">
        <v>69.273608922958402</v>
      </c>
      <c r="N301" s="16">
        <v>2.2444229</v>
      </c>
      <c r="P301" s="16">
        <v>1.792675</v>
      </c>
      <c r="Q301" s="25">
        <f t="shared" si="15"/>
        <v>0</v>
      </c>
      <c r="R301">
        <v>0</v>
      </c>
      <c r="S301" s="24">
        <v>0</v>
      </c>
      <c r="T301">
        <f>Q301/100</f>
        <v>0</v>
      </c>
      <c r="U301">
        <f>R301/100</f>
        <v>0</v>
      </c>
      <c r="V301">
        <f>S301/100</f>
        <v>0</v>
      </c>
    </row>
    <row r="302" spans="1:26" x14ac:dyDescent="0.25">
      <c r="A302" t="s">
        <v>8</v>
      </c>
      <c r="B302">
        <v>9</v>
      </c>
      <c r="C302">
        <v>1982</v>
      </c>
      <c r="D302" s="5">
        <v>29.6</v>
      </c>
      <c r="E302" s="5">
        <v>40.799999999999997</v>
      </c>
      <c r="F302" s="5">
        <f t="shared" si="17"/>
        <v>11.199999999999996</v>
      </c>
      <c r="G302" s="7">
        <v>1.1076896999999999</v>
      </c>
      <c r="H302" s="7">
        <v>11.040162317313767</v>
      </c>
      <c r="I302" s="8">
        <v>27666.809455999999</v>
      </c>
      <c r="J302" s="12">
        <v>-3.187262</v>
      </c>
      <c r="K302" s="7">
        <v>46.615882796942664</v>
      </c>
      <c r="L302" s="5">
        <v>0.70736044645309404</v>
      </c>
      <c r="M302" s="5">
        <v>70.736044645309406</v>
      </c>
      <c r="N302" s="16">
        <v>2.278</v>
      </c>
      <c r="P302" s="16">
        <v>1.798</v>
      </c>
      <c r="Q302" s="25">
        <f t="shared" si="15"/>
        <v>0</v>
      </c>
      <c r="R302">
        <v>0</v>
      </c>
      <c r="S302" s="24">
        <v>0</v>
      </c>
      <c r="T302">
        <f>Q302/100</f>
        <v>0</v>
      </c>
      <c r="U302">
        <f>R302/100</f>
        <v>0</v>
      </c>
      <c r="V302">
        <f>S302/100</f>
        <v>0</v>
      </c>
    </row>
    <row r="303" spans="1:26" x14ac:dyDescent="0.25">
      <c r="A303" t="s">
        <v>8</v>
      </c>
      <c r="B303">
        <v>9</v>
      </c>
      <c r="C303">
        <v>1983</v>
      </c>
      <c r="D303" s="5">
        <v>29.6</v>
      </c>
      <c r="E303" s="5">
        <v>42.3</v>
      </c>
      <c r="F303" s="5">
        <f t="shared" si="17"/>
        <v>12.699999999999996</v>
      </c>
      <c r="G303" s="7">
        <v>1.05863588</v>
      </c>
      <c r="H303" s="7">
        <v>12.018308345878944</v>
      </c>
      <c r="I303" s="8">
        <v>28107.302167999998</v>
      </c>
      <c r="J303" s="12">
        <v>2.6013389999999998</v>
      </c>
      <c r="K303" s="7">
        <v>46.708883593312386</v>
      </c>
      <c r="L303" s="5">
        <v>0.67722523212432895</v>
      </c>
      <c r="M303" s="5">
        <v>67.72252321243289</v>
      </c>
      <c r="N303" s="16">
        <v>2.3159999999999998</v>
      </c>
      <c r="P303" s="16">
        <v>1.806</v>
      </c>
      <c r="Q303" s="25">
        <f t="shared" si="15"/>
        <v>0</v>
      </c>
      <c r="R303">
        <v>0</v>
      </c>
      <c r="S303" s="24">
        <v>0</v>
      </c>
      <c r="T303">
        <f>Q303/100</f>
        <v>0</v>
      </c>
      <c r="U303">
        <f>R303/100</f>
        <v>0</v>
      </c>
      <c r="V303">
        <f>S303/100</f>
        <v>0</v>
      </c>
    </row>
    <row r="304" spans="1:26" x14ac:dyDescent="0.25">
      <c r="A304" t="s">
        <v>8</v>
      </c>
      <c r="B304">
        <v>9</v>
      </c>
      <c r="C304">
        <v>1984</v>
      </c>
      <c r="D304" s="5">
        <v>30.3</v>
      </c>
      <c r="E304" s="5">
        <v>42.6</v>
      </c>
      <c r="F304" s="5">
        <f t="shared" si="17"/>
        <v>12.3</v>
      </c>
      <c r="G304" s="7">
        <v>1.04304778</v>
      </c>
      <c r="H304" s="7">
        <v>11.344435310028022</v>
      </c>
      <c r="I304" s="8">
        <v>29488.311992999999</v>
      </c>
      <c r="J304" s="12">
        <v>5.9084570000000003</v>
      </c>
      <c r="K304" s="7">
        <v>52.476698428090899</v>
      </c>
      <c r="L304" s="5">
        <v>0.66142368316650402</v>
      </c>
      <c r="M304" s="5">
        <v>66.142368316650405</v>
      </c>
      <c r="N304" s="16">
        <v>2.3540000000000001</v>
      </c>
      <c r="P304" s="16">
        <v>1.8140000000000001</v>
      </c>
      <c r="Q304" s="25">
        <f t="shared" si="15"/>
        <v>0.19167999999999999</v>
      </c>
      <c r="R304">
        <v>0</v>
      </c>
      <c r="S304" s="24">
        <v>0.19167999999999999</v>
      </c>
      <c r="T304">
        <f>Q304/100</f>
        <v>1.9168E-3</v>
      </c>
      <c r="U304">
        <f>R304/100</f>
        <v>0</v>
      </c>
      <c r="V304">
        <f>S304/100</f>
        <v>1.9168E-3</v>
      </c>
    </row>
    <row r="305" spans="1:26" x14ac:dyDescent="0.25">
      <c r="A305" t="s">
        <v>8</v>
      </c>
      <c r="B305">
        <v>9</v>
      </c>
      <c r="C305">
        <v>1985</v>
      </c>
      <c r="D305" s="5">
        <v>30.1</v>
      </c>
      <c r="E305" s="5">
        <v>42.2</v>
      </c>
      <c r="F305" s="5">
        <f t="shared" si="17"/>
        <v>12.100000000000001</v>
      </c>
      <c r="G305" s="7">
        <v>1.0396203100000001</v>
      </c>
      <c r="H305" s="7">
        <v>10.502453539361035</v>
      </c>
      <c r="I305" s="8">
        <v>30604.354926</v>
      </c>
      <c r="J305" s="12">
        <v>4.7374000000000001</v>
      </c>
      <c r="K305" s="7">
        <v>52.841946534887121</v>
      </c>
      <c r="L305" s="5">
        <v>0.65837454795837402</v>
      </c>
      <c r="M305" s="5">
        <v>65.837454795837402</v>
      </c>
      <c r="N305" s="16">
        <v>2.3919999999999999</v>
      </c>
      <c r="P305" s="16">
        <v>1.8220000000000001</v>
      </c>
      <c r="Q305" s="25">
        <f t="shared" si="15"/>
        <v>1.0786199999999999</v>
      </c>
      <c r="R305">
        <v>0.51562000000000008</v>
      </c>
      <c r="S305" s="24">
        <v>0.56299999999999994</v>
      </c>
      <c r="T305">
        <f>Q305/100</f>
        <v>1.0786199999999999E-2</v>
      </c>
      <c r="U305">
        <f>R305/100</f>
        <v>5.1562000000000005E-3</v>
      </c>
      <c r="V305">
        <f>S305/100</f>
        <v>5.6299999999999996E-3</v>
      </c>
    </row>
    <row r="306" spans="1:26" x14ac:dyDescent="0.25">
      <c r="A306" t="s">
        <v>8</v>
      </c>
      <c r="B306">
        <v>9</v>
      </c>
      <c r="C306">
        <v>1986</v>
      </c>
      <c r="D306" s="5">
        <v>29.1</v>
      </c>
      <c r="E306" s="5">
        <v>41</v>
      </c>
      <c r="F306" s="5">
        <f t="shared" si="17"/>
        <v>11.899999999999999</v>
      </c>
      <c r="G306" s="7">
        <v>1.0419478600000001</v>
      </c>
      <c r="H306" s="7">
        <v>9.5930426900514369</v>
      </c>
      <c r="I306" s="8">
        <v>30951.604145000001</v>
      </c>
      <c r="J306" s="12">
        <v>2.1449720000000001</v>
      </c>
      <c r="K306" s="7">
        <v>53.065150105387083</v>
      </c>
      <c r="L306" s="5">
        <v>0.67951303720474199</v>
      </c>
      <c r="M306" s="5">
        <v>67.951303720474201</v>
      </c>
      <c r="N306" s="16">
        <v>2.4329626000000002</v>
      </c>
      <c r="P306" s="16">
        <v>1.8286093999999999</v>
      </c>
      <c r="Q306" s="25">
        <f t="shared" si="15"/>
        <v>1.5113300000000001</v>
      </c>
      <c r="R306">
        <v>0.40340000000000004</v>
      </c>
      <c r="S306" s="24">
        <v>1.1079300000000001</v>
      </c>
      <c r="T306">
        <f>Q306/100</f>
        <v>1.5113300000000001E-2</v>
      </c>
      <c r="U306">
        <f>R306/100</f>
        <v>4.0340000000000003E-3</v>
      </c>
      <c r="V306">
        <f>S306/100</f>
        <v>1.10793E-2</v>
      </c>
      <c r="W306">
        <v>0.71031</v>
      </c>
      <c r="X306">
        <v>0.432</v>
      </c>
      <c r="Y306">
        <v>0.432</v>
      </c>
      <c r="Z306" s="5">
        <f>Y306*100</f>
        <v>43.2</v>
      </c>
    </row>
    <row r="307" spans="1:26" x14ac:dyDescent="0.25">
      <c r="A307" t="s">
        <v>8</v>
      </c>
      <c r="B307">
        <v>9</v>
      </c>
      <c r="C307">
        <v>1987</v>
      </c>
      <c r="D307" s="5">
        <v>28.9</v>
      </c>
      <c r="E307" s="5">
        <v>41</v>
      </c>
      <c r="F307" s="5">
        <f t="shared" si="17"/>
        <v>12.100000000000001</v>
      </c>
      <c r="G307" s="7">
        <v>1.0435610900000001</v>
      </c>
      <c r="H307" s="7">
        <v>8.8200437527400908</v>
      </c>
      <c r="I307" s="8">
        <v>31790.425115999999</v>
      </c>
      <c r="J307" s="12">
        <v>4.072959</v>
      </c>
      <c r="K307" s="7">
        <v>50.866391798529087</v>
      </c>
      <c r="L307" s="5">
        <v>0.67333859205246005</v>
      </c>
      <c r="M307" s="5">
        <v>67.333859205246</v>
      </c>
      <c r="N307" s="16">
        <v>2.41</v>
      </c>
      <c r="P307" s="16">
        <v>1.845</v>
      </c>
      <c r="Q307" s="25">
        <f t="shared" si="15"/>
        <v>0.75992999999999999</v>
      </c>
      <c r="R307">
        <v>0.29027000000000003</v>
      </c>
      <c r="S307" s="24">
        <v>0.46965999999999997</v>
      </c>
      <c r="T307">
        <f>Q307/100</f>
        <v>7.5992999999999998E-3</v>
      </c>
      <c r="U307">
        <f>R307/100</f>
        <v>2.9027000000000002E-3</v>
      </c>
      <c r="V307">
        <f>S307/100</f>
        <v>4.6965999999999996E-3</v>
      </c>
      <c r="W307">
        <v>0.70679999999999998</v>
      </c>
      <c r="X307">
        <v>0.436</v>
      </c>
      <c r="Y307">
        <v>0.436</v>
      </c>
      <c r="Z307" s="5">
        <f t="shared" ref="Z307:Z334" si="18">Y307*100</f>
        <v>43.6</v>
      </c>
    </row>
    <row r="308" spans="1:26" x14ac:dyDescent="0.25">
      <c r="A308" t="s">
        <v>8</v>
      </c>
      <c r="B308">
        <v>9</v>
      </c>
      <c r="C308">
        <v>1988</v>
      </c>
      <c r="D308" s="5">
        <v>28.7</v>
      </c>
      <c r="E308" s="5">
        <v>41</v>
      </c>
      <c r="F308" s="5">
        <f t="shared" si="17"/>
        <v>12.3</v>
      </c>
      <c r="G308" s="7">
        <v>1.0402823400000001</v>
      </c>
      <c r="H308" s="7">
        <v>7.7619309229696256</v>
      </c>
      <c r="I308" s="8">
        <v>32764.815181999998</v>
      </c>
      <c r="J308" s="12">
        <v>4.4101109999999997</v>
      </c>
      <c r="K308" s="7">
        <v>51.365781136842912</v>
      </c>
      <c r="L308" s="5">
        <v>0.68139940500259399</v>
      </c>
      <c r="M308" s="5">
        <v>68.139940500259399</v>
      </c>
      <c r="N308" s="16">
        <v>2.3935455000000001</v>
      </c>
      <c r="P308" s="16">
        <v>1.8633826</v>
      </c>
      <c r="Q308" s="25">
        <f t="shared" si="15"/>
        <v>0.58087</v>
      </c>
      <c r="R308">
        <v>0.22821000000000002</v>
      </c>
      <c r="S308" s="24">
        <v>0.35265999999999997</v>
      </c>
      <c r="T308">
        <f>Q308/100</f>
        <v>5.8087E-3</v>
      </c>
      <c r="U308">
        <f>R308/100</f>
        <v>2.2821000000000004E-3</v>
      </c>
      <c r="V308">
        <f>S308/100</f>
        <v>3.5265999999999995E-3</v>
      </c>
      <c r="W308">
        <v>0.69933000000000001</v>
      </c>
      <c r="X308">
        <v>0.42899999999999999</v>
      </c>
      <c r="Y308">
        <v>0.42899999999999999</v>
      </c>
      <c r="Z308" s="5">
        <f t="shared" si="18"/>
        <v>42.9</v>
      </c>
    </row>
    <row r="309" spans="1:26" x14ac:dyDescent="0.25">
      <c r="A309" t="s">
        <v>8</v>
      </c>
      <c r="B309">
        <v>9</v>
      </c>
      <c r="C309">
        <v>1989</v>
      </c>
      <c r="D309" s="5">
        <v>28.5</v>
      </c>
      <c r="E309" s="5">
        <v>40.799999999999997</v>
      </c>
      <c r="F309" s="5">
        <f t="shared" si="17"/>
        <v>12.299999999999997</v>
      </c>
      <c r="G309" s="7">
        <v>1.04983622</v>
      </c>
      <c r="H309" s="7">
        <v>7.5465551964612576</v>
      </c>
      <c r="I309" s="8">
        <v>32927.848062999998</v>
      </c>
      <c r="J309" s="12">
        <v>2.3169789999999999</v>
      </c>
      <c r="K309" s="7">
        <v>50.066634007317077</v>
      </c>
      <c r="L309" s="5">
        <v>0.69305270910263095</v>
      </c>
      <c r="M309" s="5">
        <v>69.30527091026309</v>
      </c>
      <c r="N309" s="16">
        <v>2.3849999999999998</v>
      </c>
      <c r="P309" s="16">
        <v>1.855</v>
      </c>
      <c r="Q309" s="25">
        <f t="shared" si="15"/>
        <v>0.5960399999999999</v>
      </c>
      <c r="R309">
        <v>0.39734000000000003</v>
      </c>
      <c r="S309" s="24">
        <v>0.19869999999999993</v>
      </c>
      <c r="T309">
        <f>Q309/100</f>
        <v>5.9603999999999994E-3</v>
      </c>
      <c r="U309">
        <f>R309/100</f>
        <v>3.9734000000000002E-3</v>
      </c>
      <c r="V309">
        <f>S309/100</f>
        <v>1.9869999999999992E-3</v>
      </c>
      <c r="W309">
        <v>0.69384999999999997</v>
      </c>
      <c r="X309">
        <v>0.41899999999999998</v>
      </c>
      <c r="Y309">
        <v>0.41899999999999998</v>
      </c>
      <c r="Z309" s="5">
        <f t="shared" si="18"/>
        <v>41.9</v>
      </c>
    </row>
    <row r="310" spans="1:26" x14ac:dyDescent="0.25">
      <c r="A310" t="s">
        <v>8</v>
      </c>
      <c r="B310">
        <v>9</v>
      </c>
      <c r="C310">
        <v>1990</v>
      </c>
      <c r="D310" s="5">
        <v>28.8</v>
      </c>
      <c r="E310" s="5">
        <v>41.7</v>
      </c>
      <c r="F310" s="5">
        <f t="shared" si="17"/>
        <v>12.900000000000002</v>
      </c>
      <c r="G310" s="7">
        <v>1.0478047699999999</v>
      </c>
      <c r="H310" s="7">
        <v>8.1310724595356572</v>
      </c>
      <c r="I310" s="8">
        <v>32488.543181000001</v>
      </c>
      <c r="J310" s="12">
        <v>0.16467300000000001</v>
      </c>
      <c r="K310" s="7">
        <v>49.994464422049717</v>
      </c>
      <c r="L310" s="5">
        <v>0.71036583185195901</v>
      </c>
      <c r="M310" s="5">
        <v>71.036583185195894</v>
      </c>
      <c r="N310" s="16">
        <v>2.3842531999999999</v>
      </c>
      <c r="P310" s="16">
        <v>1.8467693000000001</v>
      </c>
      <c r="Q310" s="25">
        <f t="shared" si="15"/>
        <v>0.88875999999999999</v>
      </c>
      <c r="R310">
        <v>0.56369000000000002</v>
      </c>
      <c r="S310" s="24">
        <v>0.32506999999999997</v>
      </c>
      <c r="T310">
        <f>Q310/100</f>
        <v>8.8876000000000007E-3</v>
      </c>
      <c r="U310">
        <f>R310/100</f>
        <v>5.6369000000000002E-3</v>
      </c>
      <c r="V310">
        <f>S310/100</f>
        <v>3.2506999999999996E-3</v>
      </c>
      <c r="W310">
        <v>0.70328000000000002</v>
      </c>
      <c r="X310">
        <v>0.42699999999999999</v>
      </c>
      <c r="Y310">
        <v>0.42699999999999999</v>
      </c>
      <c r="Z310" s="5">
        <f t="shared" si="18"/>
        <v>42.699999999999996</v>
      </c>
    </row>
    <row r="311" spans="1:26" x14ac:dyDescent="0.25">
      <c r="A311" t="s">
        <v>8</v>
      </c>
      <c r="B311">
        <v>9</v>
      </c>
      <c r="C311">
        <v>1991</v>
      </c>
      <c r="D311" s="5">
        <v>29.1</v>
      </c>
      <c r="E311" s="5">
        <v>43</v>
      </c>
      <c r="F311" s="5">
        <f t="shared" si="17"/>
        <v>13.899999999999999</v>
      </c>
      <c r="G311" s="7">
        <v>1.05625864</v>
      </c>
      <c r="H311" s="7">
        <v>10.316239197003412</v>
      </c>
      <c r="I311" s="8">
        <v>31417.918430000002</v>
      </c>
      <c r="J311" s="12">
        <v>-2.0860850000000002</v>
      </c>
      <c r="K311" s="7">
        <v>49.223466847541872</v>
      </c>
      <c r="L311" s="5">
        <v>0.73360276222229004</v>
      </c>
      <c r="M311" s="5">
        <v>73.360276222229004</v>
      </c>
      <c r="N311" s="16">
        <v>2.2331105999999998</v>
      </c>
      <c r="P311" s="16">
        <v>1.8806516</v>
      </c>
      <c r="Q311" s="25">
        <f t="shared" si="15"/>
        <v>0.59994999999999998</v>
      </c>
      <c r="R311">
        <v>0.33955000000000002</v>
      </c>
      <c r="S311" s="24">
        <v>0.26040000000000002</v>
      </c>
      <c r="T311">
        <f>Q311/100</f>
        <v>5.9994999999999996E-3</v>
      </c>
      <c r="U311">
        <f>R311/100</f>
        <v>3.3955000000000001E-3</v>
      </c>
      <c r="V311">
        <f>S311/100</f>
        <v>2.6040000000000004E-3</v>
      </c>
      <c r="W311">
        <v>0.71062999999999998</v>
      </c>
      <c r="X311">
        <v>0.43099999999999999</v>
      </c>
      <c r="Y311">
        <v>0.43099999999999999</v>
      </c>
      <c r="Z311" s="5">
        <f t="shared" si="18"/>
        <v>43.1</v>
      </c>
    </row>
    <row r="312" spans="1:26" x14ac:dyDescent="0.25">
      <c r="A312" t="s">
        <v>8</v>
      </c>
      <c r="B312">
        <v>9</v>
      </c>
      <c r="C312">
        <v>1992</v>
      </c>
      <c r="D312" s="5">
        <v>28.8</v>
      </c>
      <c r="E312" s="5">
        <v>43.6</v>
      </c>
      <c r="F312" s="5">
        <f t="shared" si="17"/>
        <v>14.8</v>
      </c>
      <c r="G312" s="7">
        <v>1.01490133</v>
      </c>
      <c r="H312" s="7">
        <v>11.197043836734409</v>
      </c>
      <c r="I312" s="8">
        <v>31327.739130999998</v>
      </c>
      <c r="J312" s="12">
        <v>0.90025999999999995</v>
      </c>
      <c r="K312" s="7">
        <v>52.738030944997185</v>
      </c>
      <c r="L312" s="5">
        <v>0.73851740360259999</v>
      </c>
      <c r="M312" s="5">
        <v>73.851740360259996</v>
      </c>
      <c r="N312" s="16">
        <v>2.3306627999999998</v>
      </c>
      <c r="P312" s="16">
        <v>1.82</v>
      </c>
      <c r="Q312" s="25">
        <f t="shared" si="15"/>
        <v>0.43817</v>
      </c>
      <c r="R312">
        <v>0.24643999999999999</v>
      </c>
      <c r="S312" s="24">
        <v>0.19173000000000001</v>
      </c>
      <c r="T312">
        <f>Q312/100</f>
        <v>4.3816999999999997E-3</v>
      </c>
      <c r="U312">
        <f>R312/100</f>
        <v>2.4643999999999998E-3</v>
      </c>
      <c r="V312">
        <f>S312/100</f>
        <v>1.9173E-3</v>
      </c>
      <c r="W312">
        <v>0.71740999999999999</v>
      </c>
      <c r="X312">
        <v>0.436</v>
      </c>
      <c r="Y312">
        <v>0.436</v>
      </c>
      <c r="Z312" s="5">
        <f t="shared" si="18"/>
        <v>43.6</v>
      </c>
    </row>
    <row r="313" spans="1:26" x14ac:dyDescent="0.25">
      <c r="A313" t="s">
        <v>8</v>
      </c>
      <c r="B313">
        <v>9</v>
      </c>
      <c r="C313">
        <v>1993</v>
      </c>
      <c r="D313" s="5">
        <v>28.8</v>
      </c>
      <c r="E313" s="5">
        <v>44.1</v>
      </c>
      <c r="F313" s="5">
        <f t="shared" si="17"/>
        <v>15.3</v>
      </c>
      <c r="G313" s="7">
        <v>1.0186507899999999</v>
      </c>
      <c r="H313" s="7">
        <v>11.376979563560791</v>
      </c>
      <c r="I313" s="8">
        <v>31809.829489</v>
      </c>
      <c r="J313" s="12">
        <v>2.660857</v>
      </c>
      <c r="K313" s="7">
        <v>58.250796145304719</v>
      </c>
      <c r="L313" s="5">
        <v>0.72248613834381104</v>
      </c>
      <c r="M313" s="5">
        <v>72.248613834381104</v>
      </c>
      <c r="N313" s="16">
        <v>2.2053756</v>
      </c>
      <c r="P313" s="16">
        <v>1.8218749999999999</v>
      </c>
      <c r="Q313" s="25">
        <f t="shared" si="15"/>
        <v>0.43292999999999998</v>
      </c>
      <c r="R313">
        <v>0.38497999999999999</v>
      </c>
      <c r="S313" s="24">
        <v>4.795E-2</v>
      </c>
      <c r="T313">
        <f>Q313/100</f>
        <v>4.3292999999999995E-3</v>
      </c>
      <c r="U313">
        <f>R313/100</f>
        <v>3.8498E-3</v>
      </c>
      <c r="V313">
        <f>S313/100</f>
        <v>4.795E-4</v>
      </c>
      <c r="W313">
        <v>0.71889999999999998</v>
      </c>
      <c r="X313">
        <v>0.435</v>
      </c>
      <c r="Y313">
        <v>0.435</v>
      </c>
      <c r="Z313" s="5">
        <f t="shared" si="18"/>
        <v>43.5</v>
      </c>
    </row>
    <row r="314" spans="1:26" x14ac:dyDescent="0.25">
      <c r="A314" t="s">
        <v>8</v>
      </c>
      <c r="B314">
        <v>9</v>
      </c>
      <c r="C314">
        <v>1994</v>
      </c>
      <c r="D314" s="5">
        <v>28.6</v>
      </c>
      <c r="E314" s="5">
        <v>44.4</v>
      </c>
      <c r="F314" s="5">
        <f t="shared" si="17"/>
        <v>15.799999999999997</v>
      </c>
      <c r="G314" s="7">
        <v>1.001655629</v>
      </c>
      <c r="H314" s="7">
        <v>10.395252550481276</v>
      </c>
      <c r="I314" s="8">
        <v>32877.439513999998</v>
      </c>
      <c r="J314" s="12">
        <v>4.4944660000000001</v>
      </c>
      <c r="K314" s="7">
        <v>64.391544145500092</v>
      </c>
      <c r="L314" s="5">
        <v>0.69545793533325195</v>
      </c>
      <c r="M314" s="5">
        <v>69.545793533325195</v>
      </c>
      <c r="N314" s="16">
        <v>2.2764624000000002</v>
      </c>
      <c r="P314" s="16">
        <v>1.8354237</v>
      </c>
      <c r="Q314" s="25">
        <f t="shared" si="15"/>
        <v>0.52119000000000004</v>
      </c>
      <c r="R314">
        <v>0.42035</v>
      </c>
      <c r="S314" s="24">
        <v>0.10084</v>
      </c>
      <c r="T314">
        <f>Q314/100</f>
        <v>5.2119000000000002E-3</v>
      </c>
      <c r="U314">
        <f>R314/100</f>
        <v>4.2034999999999998E-3</v>
      </c>
      <c r="V314">
        <f>S314/100</f>
        <v>1.0084E-3</v>
      </c>
      <c r="W314">
        <v>0.71980999999999995</v>
      </c>
      <c r="X314">
        <v>0.432</v>
      </c>
      <c r="Y314">
        <v>0.432</v>
      </c>
      <c r="Z314" s="5">
        <f t="shared" si="18"/>
        <v>43.2</v>
      </c>
    </row>
    <row r="315" spans="1:26" x14ac:dyDescent="0.25">
      <c r="A315" t="s">
        <v>8</v>
      </c>
      <c r="B315">
        <v>9</v>
      </c>
      <c r="C315">
        <v>1995</v>
      </c>
      <c r="D315" s="5">
        <v>28.9</v>
      </c>
      <c r="E315" s="5">
        <v>44.7</v>
      </c>
      <c r="F315" s="5">
        <f t="shared" si="17"/>
        <v>15.800000000000004</v>
      </c>
      <c r="G315" s="7">
        <v>1.0214875999999999</v>
      </c>
      <c r="H315" s="7">
        <v>9.4888833368166168</v>
      </c>
      <c r="I315" s="8">
        <v>33415.580533</v>
      </c>
      <c r="J315" s="12">
        <v>2.6939760000000001</v>
      </c>
      <c r="K315" s="7">
        <v>69.061748079954683</v>
      </c>
      <c r="L315" s="5">
        <v>0.68305718898773204</v>
      </c>
      <c r="M315" s="5">
        <v>68.305718898773208</v>
      </c>
      <c r="Q315" s="25">
        <f t="shared" si="15"/>
        <v>1.12476</v>
      </c>
      <c r="R315">
        <v>0.91883000000000004</v>
      </c>
      <c r="S315" s="24">
        <v>0.20593</v>
      </c>
      <c r="T315">
        <f>Q315/100</f>
        <v>1.12476E-2</v>
      </c>
      <c r="U315">
        <f>R315/100</f>
        <v>9.1882999999999999E-3</v>
      </c>
      <c r="V315">
        <f>S315/100</f>
        <v>2.0593E-3</v>
      </c>
      <c r="W315">
        <v>0.71892999999999996</v>
      </c>
      <c r="X315">
        <v>0.43</v>
      </c>
      <c r="Y315">
        <v>0.43</v>
      </c>
      <c r="Z315" s="5">
        <f t="shared" si="18"/>
        <v>43</v>
      </c>
    </row>
    <row r="316" spans="1:26" x14ac:dyDescent="0.25">
      <c r="A316" t="s">
        <v>8</v>
      </c>
      <c r="B316">
        <v>9</v>
      </c>
      <c r="C316">
        <v>1996</v>
      </c>
      <c r="D316" s="5">
        <v>30</v>
      </c>
      <c r="E316" s="5">
        <v>46.1</v>
      </c>
      <c r="F316" s="5">
        <f t="shared" si="17"/>
        <v>16.100000000000001</v>
      </c>
      <c r="G316" s="7">
        <v>1.01570531</v>
      </c>
      <c r="H316" s="7">
        <v>9.6197059502940032</v>
      </c>
      <c r="I316" s="8">
        <v>33603.532425999998</v>
      </c>
      <c r="J316" s="12">
        <v>1.6191720000000001</v>
      </c>
      <c r="K316" s="7">
        <v>70.26007345603918</v>
      </c>
      <c r="L316" s="5">
        <v>0.67677205801010099</v>
      </c>
      <c r="M316" s="5">
        <v>67.677205801010103</v>
      </c>
      <c r="Q316" s="25">
        <f t="shared" si="15"/>
        <v>0.67392999999999992</v>
      </c>
      <c r="R316">
        <v>0.56965999999999994</v>
      </c>
      <c r="S316" s="24">
        <v>0.10427</v>
      </c>
      <c r="T316">
        <f>Q316/100</f>
        <v>6.7392999999999993E-3</v>
      </c>
      <c r="U316">
        <f>R316/100</f>
        <v>5.6965999999999996E-3</v>
      </c>
      <c r="V316">
        <f>S316/100</f>
        <v>1.0426999999999999E-3</v>
      </c>
      <c r="W316">
        <v>0.74519999999999997</v>
      </c>
      <c r="X316">
        <v>0.46100000000000002</v>
      </c>
      <c r="Y316">
        <v>0.46100000000000002</v>
      </c>
      <c r="Z316" s="5">
        <f t="shared" si="18"/>
        <v>46.1</v>
      </c>
    </row>
    <row r="317" spans="1:26" x14ac:dyDescent="0.25">
      <c r="A317" t="s">
        <v>8</v>
      </c>
      <c r="B317">
        <v>9</v>
      </c>
      <c r="C317">
        <v>1997</v>
      </c>
      <c r="D317" s="5">
        <v>30.6</v>
      </c>
      <c r="E317" s="5">
        <v>46.7</v>
      </c>
      <c r="F317" s="5">
        <f t="shared" si="17"/>
        <v>16.100000000000001</v>
      </c>
      <c r="G317" s="7">
        <v>1.01621216</v>
      </c>
      <c r="H317" s="7">
        <v>9.1005048217673465</v>
      </c>
      <c r="I317" s="8">
        <v>34695.260570999999</v>
      </c>
      <c r="J317" s="12">
        <v>4.2800399999999996</v>
      </c>
      <c r="K317" s="7">
        <v>74.336610081652239</v>
      </c>
      <c r="L317" s="5">
        <v>0.67350614070892301</v>
      </c>
      <c r="M317" s="5">
        <v>67.350614070892306</v>
      </c>
      <c r="N317" s="16">
        <v>2</v>
      </c>
      <c r="O317" s="20">
        <v>3.5262666999999999</v>
      </c>
      <c r="P317" s="16">
        <v>1.7631333</v>
      </c>
      <c r="Q317" s="25">
        <f t="shared" si="15"/>
        <v>0.37512999999999996</v>
      </c>
      <c r="R317">
        <v>0.37986999999999999</v>
      </c>
      <c r="S317" s="24">
        <v>-4.7400000000000012E-3</v>
      </c>
      <c r="T317">
        <f>Q317/100</f>
        <v>3.7512999999999995E-3</v>
      </c>
      <c r="U317">
        <f>R317/100</f>
        <v>3.7986999999999999E-3</v>
      </c>
      <c r="V317">
        <f>S317/100</f>
        <v>-4.7400000000000014E-5</v>
      </c>
      <c r="W317">
        <v>0.74380000000000002</v>
      </c>
      <c r="X317">
        <v>0.46600000000000003</v>
      </c>
      <c r="Y317">
        <v>0.46600000000000003</v>
      </c>
      <c r="Z317" s="5">
        <f t="shared" si="18"/>
        <v>46.6</v>
      </c>
    </row>
    <row r="318" spans="1:26" x14ac:dyDescent="0.25">
      <c r="A318" t="s">
        <v>8</v>
      </c>
      <c r="B318">
        <v>9</v>
      </c>
      <c r="C318">
        <v>1998</v>
      </c>
      <c r="D318" s="5">
        <v>31</v>
      </c>
      <c r="E318" s="5">
        <v>47</v>
      </c>
      <c r="F318" s="5">
        <f t="shared" si="17"/>
        <v>16</v>
      </c>
      <c r="G318" s="7">
        <v>1.0099594249999999</v>
      </c>
      <c r="H318" s="7">
        <v>8.2785193968725768</v>
      </c>
      <c r="I318" s="8">
        <v>35749.120783999999</v>
      </c>
      <c r="J318" s="12">
        <v>3.8961519999999998</v>
      </c>
      <c r="K318" s="7">
        <v>78.081185362861078</v>
      </c>
      <c r="L318" s="5">
        <v>0.68622696399688698</v>
      </c>
      <c r="M318" s="5">
        <v>68.622696399688692</v>
      </c>
      <c r="N318" s="16">
        <v>2</v>
      </c>
      <c r="O318" s="20">
        <v>3.59</v>
      </c>
      <c r="P318" s="16">
        <v>1.7949999999999999</v>
      </c>
      <c r="Q318" s="25">
        <f t="shared" si="15"/>
        <v>0</v>
      </c>
      <c r="R318">
        <v>0</v>
      </c>
      <c r="S318" s="24">
        <v>0</v>
      </c>
      <c r="T318">
        <f>Q318/100</f>
        <v>0</v>
      </c>
      <c r="U318">
        <f>R318/100</f>
        <v>0</v>
      </c>
      <c r="V318">
        <f>S318/100</f>
        <v>0</v>
      </c>
      <c r="W318">
        <v>0.74156</v>
      </c>
      <c r="X318">
        <v>0.46899999999999997</v>
      </c>
      <c r="Y318">
        <v>0.46899999999999997</v>
      </c>
      <c r="Z318" s="5">
        <f t="shared" si="18"/>
        <v>46.9</v>
      </c>
    </row>
    <row r="319" spans="1:26" x14ac:dyDescent="0.25">
      <c r="A319" t="s">
        <v>8</v>
      </c>
      <c r="B319">
        <v>9</v>
      </c>
      <c r="C319">
        <v>1999</v>
      </c>
      <c r="D319" s="5">
        <v>31.2</v>
      </c>
      <c r="E319" s="5">
        <v>46.9</v>
      </c>
      <c r="F319" s="5">
        <f t="shared" si="17"/>
        <v>15.7</v>
      </c>
      <c r="G319" s="7">
        <v>1.01734843</v>
      </c>
      <c r="H319" s="7">
        <v>7.5830836065889349</v>
      </c>
      <c r="I319" s="8">
        <v>37290.468916999998</v>
      </c>
      <c r="J319" s="12">
        <v>5.1629139999999998</v>
      </c>
      <c r="K319" s="7">
        <v>80.115029312929536</v>
      </c>
      <c r="L319" s="5">
        <v>0.66929835081100497</v>
      </c>
      <c r="M319" s="5">
        <v>66.929835081100492</v>
      </c>
      <c r="N319" s="16">
        <v>2.0002599999999999</v>
      </c>
      <c r="O319" s="20">
        <v>3.6248984000000002</v>
      </c>
      <c r="P319" s="16">
        <v>1.8122136</v>
      </c>
      <c r="Q319" s="25">
        <f t="shared" si="15"/>
        <v>0</v>
      </c>
      <c r="R319">
        <v>0</v>
      </c>
      <c r="S319" s="24">
        <v>0</v>
      </c>
      <c r="T319">
        <f>Q319/100</f>
        <v>0</v>
      </c>
      <c r="U319">
        <f>R319/100</f>
        <v>0</v>
      </c>
      <c r="V319">
        <f>S319/100</f>
        <v>0</v>
      </c>
      <c r="W319">
        <v>0.73570000000000002</v>
      </c>
      <c r="X319">
        <v>0.46500000000000002</v>
      </c>
      <c r="Y319">
        <v>0.46500000000000002</v>
      </c>
      <c r="Z319" s="5">
        <f t="shared" si="18"/>
        <v>46.5</v>
      </c>
    </row>
    <row r="320" spans="1:26" x14ac:dyDescent="0.25">
      <c r="A320" t="s">
        <v>8</v>
      </c>
      <c r="B320">
        <v>9</v>
      </c>
      <c r="C320">
        <v>2000</v>
      </c>
      <c r="D320" s="5">
        <v>31.5</v>
      </c>
      <c r="E320" s="5">
        <v>46.9</v>
      </c>
      <c r="F320" s="5">
        <f t="shared" si="17"/>
        <v>15.399999999999999</v>
      </c>
      <c r="G320" s="7">
        <v>1.0271944</v>
      </c>
      <c r="H320" s="7">
        <v>6.8286061104928493</v>
      </c>
      <c r="I320" s="8">
        <v>38857.668962999996</v>
      </c>
      <c r="J320" s="12">
        <v>5.1776359999999997</v>
      </c>
      <c r="K320" s="7">
        <v>82.765357850321365</v>
      </c>
      <c r="L320" s="5">
        <v>0.65389531850814797</v>
      </c>
      <c r="M320" s="5">
        <v>65.389531850814791</v>
      </c>
      <c r="N320" s="16">
        <v>2</v>
      </c>
      <c r="O320" s="20">
        <v>3.6062500000000002</v>
      </c>
      <c r="P320" s="16">
        <v>1.8031250000000001</v>
      </c>
      <c r="Q320" s="25">
        <f t="shared" si="15"/>
        <v>0</v>
      </c>
      <c r="R320">
        <v>0</v>
      </c>
      <c r="S320" s="24">
        <v>0</v>
      </c>
      <c r="T320">
        <f>Q320/100</f>
        <v>0</v>
      </c>
      <c r="U320">
        <f>R320/100</f>
        <v>0</v>
      </c>
      <c r="V320">
        <f>S320/100</f>
        <v>0</v>
      </c>
      <c r="W320">
        <v>0.73273999999999995</v>
      </c>
      <c r="X320">
        <v>0.46899999999999997</v>
      </c>
      <c r="Y320">
        <v>0.46899999999999997</v>
      </c>
      <c r="Z320" s="5">
        <f t="shared" si="18"/>
        <v>46.9</v>
      </c>
    </row>
    <row r="321" spans="1:26" x14ac:dyDescent="0.25">
      <c r="A321" t="s">
        <v>8</v>
      </c>
      <c r="B321">
        <v>9</v>
      </c>
      <c r="C321">
        <v>2001</v>
      </c>
      <c r="D321" s="5">
        <v>31.7</v>
      </c>
      <c r="E321" s="5">
        <v>47</v>
      </c>
      <c r="F321" s="5">
        <f t="shared" si="17"/>
        <v>15.3</v>
      </c>
      <c r="G321" s="7">
        <v>1.0252512</v>
      </c>
      <c r="H321" s="7">
        <v>7.2186525844612337</v>
      </c>
      <c r="I321" s="8">
        <v>39125.849520000003</v>
      </c>
      <c r="J321" s="12">
        <v>1.789973</v>
      </c>
      <c r="K321" s="7">
        <v>78.344218394369776</v>
      </c>
      <c r="L321" s="5">
        <v>0.65738117694854703</v>
      </c>
      <c r="M321" s="5">
        <v>65.738117694854708</v>
      </c>
      <c r="N321" s="16">
        <v>2.0321782000000002</v>
      </c>
      <c r="O321" s="20">
        <v>3.6893563999999999</v>
      </c>
      <c r="P321" s="16">
        <v>1.8154688999999999</v>
      </c>
      <c r="Q321" s="25">
        <f t="shared" si="15"/>
        <v>0</v>
      </c>
      <c r="R321">
        <v>0</v>
      </c>
      <c r="S321" s="24">
        <v>0</v>
      </c>
      <c r="T321">
        <f>Q321/100</f>
        <v>0</v>
      </c>
      <c r="U321">
        <f>R321/100</f>
        <v>0</v>
      </c>
      <c r="V321">
        <f>S321/100</f>
        <v>0</v>
      </c>
      <c r="W321">
        <v>0.73126999999999998</v>
      </c>
      <c r="X321">
        <v>0.47199999999999998</v>
      </c>
      <c r="Y321">
        <v>0.47199999999999998</v>
      </c>
      <c r="Z321" s="5">
        <f t="shared" si="18"/>
        <v>47.199999999999996</v>
      </c>
    </row>
    <row r="322" spans="1:26" x14ac:dyDescent="0.25">
      <c r="A322" t="s">
        <v>8</v>
      </c>
      <c r="B322">
        <v>9</v>
      </c>
      <c r="C322">
        <v>2002</v>
      </c>
      <c r="D322" s="5">
        <v>31.7</v>
      </c>
      <c r="E322" s="5">
        <v>47.1</v>
      </c>
      <c r="F322" s="5">
        <f t="shared" si="17"/>
        <v>15.400000000000002</v>
      </c>
      <c r="G322" s="7">
        <v>1.0225839400000001</v>
      </c>
      <c r="H322" s="7">
        <v>7.6647939577360349</v>
      </c>
      <c r="I322" s="8">
        <v>39870.747802999998</v>
      </c>
      <c r="J322" s="12">
        <v>3.0180509999999998</v>
      </c>
      <c r="K322" s="7">
        <v>75.707032077923273</v>
      </c>
      <c r="L322" s="5">
        <v>0.65740263462066695</v>
      </c>
      <c r="M322" s="5">
        <v>65.740263462066693</v>
      </c>
      <c r="N322" s="16">
        <v>1.9946667</v>
      </c>
      <c r="O322" s="20">
        <v>3.6503703999999999</v>
      </c>
      <c r="P322" s="16">
        <v>1.8300654000000001</v>
      </c>
      <c r="Q322" s="25">
        <f t="shared" si="15"/>
        <v>0</v>
      </c>
      <c r="R322">
        <v>0</v>
      </c>
      <c r="S322" s="24">
        <v>0</v>
      </c>
      <c r="T322">
        <f>Q322/100</f>
        <v>0</v>
      </c>
      <c r="U322">
        <f>R322/100</f>
        <v>0</v>
      </c>
      <c r="V322">
        <f>S322/100</f>
        <v>0</v>
      </c>
      <c r="W322">
        <v>0.73145000000000004</v>
      </c>
      <c r="X322">
        <v>0.47399999999999998</v>
      </c>
      <c r="Y322">
        <v>0.47399999999999998</v>
      </c>
      <c r="Z322" s="5">
        <f t="shared" si="18"/>
        <v>47.4</v>
      </c>
    </row>
    <row r="323" spans="1:26" x14ac:dyDescent="0.25">
      <c r="A323" t="s">
        <v>8</v>
      </c>
      <c r="B323">
        <v>9</v>
      </c>
      <c r="C323">
        <v>2003</v>
      </c>
      <c r="D323" s="5">
        <v>31.8</v>
      </c>
      <c r="E323" s="5">
        <v>47.1</v>
      </c>
      <c r="F323" s="5">
        <f t="shared" si="17"/>
        <v>15.3</v>
      </c>
      <c r="G323" s="7">
        <v>1.0275856299999999</v>
      </c>
      <c r="H323" s="7">
        <v>7.5738573925852846</v>
      </c>
      <c r="I323" s="8">
        <v>40224.812051000001</v>
      </c>
      <c r="J323" s="12">
        <v>1.801518</v>
      </c>
      <c r="K323" s="7">
        <v>69.840094617060728</v>
      </c>
      <c r="L323" s="5">
        <v>0.64575374126434304</v>
      </c>
      <c r="M323" s="5">
        <v>64.575374126434298</v>
      </c>
      <c r="N323" s="16">
        <v>1.9653179000000001</v>
      </c>
      <c r="O323" s="20">
        <v>3.6127167999999998</v>
      </c>
      <c r="P323" s="16">
        <v>1.8382353</v>
      </c>
      <c r="Q323" s="25">
        <f t="shared" ref="Q323:Q386" si="19">R323+S323</f>
        <v>0</v>
      </c>
      <c r="R323">
        <v>0</v>
      </c>
      <c r="S323" s="24">
        <v>0</v>
      </c>
      <c r="T323">
        <f>Q323/100</f>
        <v>0</v>
      </c>
      <c r="U323">
        <f>R323/100</f>
        <v>0</v>
      </c>
      <c r="V323">
        <f>S323/100</f>
        <v>0</v>
      </c>
      <c r="W323">
        <v>0.73150000000000004</v>
      </c>
      <c r="X323">
        <v>0.47699999999999998</v>
      </c>
      <c r="Y323">
        <v>0.47699999999999998</v>
      </c>
      <c r="Z323" s="5">
        <f t="shared" si="18"/>
        <v>47.699999999999996</v>
      </c>
    </row>
    <row r="324" spans="1:26" x14ac:dyDescent="0.25">
      <c r="A324" t="s">
        <v>8</v>
      </c>
      <c r="B324">
        <v>9</v>
      </c>
      <c r="C324">
        <v>2004</v>
      </c>
      <c r="D324" s="5">
        <v>31.9</v>
      </c>
      <c r="E324" s="5">
        <v>47.2</v>
      </c>
      <c r="F324" s="5">
        <f t="shared" si="17"/>
        <v>15.300000000000004</v>
      </c>
      <c r="G324" s="7">
        <v>1.01857259</v>
      </c>
      <c r="H324" s="7">
        <v>7.1852791434120062</v>
      </c>
      <c r="I324" s="8">
        <v>41081.452098000002</v>
      </c>
      <c r="J324" s="12">
        <v>3.0869810000000002</v>
      </c>
      <c r="K324" s="7">
        <v>70.192419990956211</v>
      </c>
      <c r="L324" s="5">
        <v>0.63933426141738903</v>
      </c>
      <c r="M324" s="5">
        <v>63.933426141738906</v>
      </c>
      <c r="N324" s="16">
        <v>2</v>
      </c>
      <c r="O324" s="20">
        <v>3.6857142999999999</v>
      </c>
      <c r="P324" s="16">
        <v>1.8428571</v>
      </c>
      <c r="Q324" s="25">
        <f t="shared" si="19"/>
        <v>0</v>
      </c>
      <c r="R324">
        <v>0</v>
      </c>
      <c r="S324" s="24">
        <v>0</v>
      </c>
      <c r="T324">
        <f>Q324/100</f>
        <v>0</v>
      </c>
      <c r="U324">
        <f>R324/100</f>
        <v>0</v>
      </c>
      <c r="V324">
        <f>S324/100</f>
        <v>0</v>
      </c>
      <c r="W324">
        <v>0.73085999999999995</v>
      </c>
      <c r="X324">
        <v>0.48</v>
      </c>
      <c r="Y324">
        <v>0.48</v>
      </c>
      <c r="Z324" s="5">
        <f t="shared" si="18"/>
        <v>48</v>
      </c>
    </row>
    <row r="325" spans="1:26" x14ac:dyDescent="0.25">
      <c r="A325" t="s">
        <v>8</v>
      </c>
      <c r="B325">
        <v>9</v>
      </c>
      <c r="C325">
        <v>2005</v>
      </c>
      <c r="D325" s="5">
        <v>31.9</v>
      </c>
      <c r="E325" s="5">
        <v>47.1</v>
      </c>
      <c r="F325" s="5">
        <f t="shared" si="17"/>
        <v>15.200000000000003</v>
      </c>
      <c r="G325" s="7">
        <v>1.02213552</v>
      </c>
      <c r="H325" s="7">
        <v>6.7581784314598607</v>
      </c>
      <c r="I325" s="8">
        <v>41999.236151999998</v>
      </c>
      <c r="J325" s="12">
        <v>3.2042000000000002</v>
      </c>
      <c r="K325" s="7">
        <v>69.759133016735689</v>
      </c>
      <c r="L325" s="5">
        <v>0.62943536043167103</v>
      </c>
      <c r="M325" s="5">
        <v>62.9435360431671</v>
      </c>
      <c r="N325" s="16">
        <v>2</v>
      </c>
      <c r="O325" s="20">
        <v>3.7388889000000001</v>
      </c>
      <c r="P325" s="16">
        <v>1.8694443999999999</v>
      </c>
      <c r="Q325" s="25">
        <f t="shared" si="19"/>
        <v>0</v>
      </c>
      <c r="R325">
        <v>0</v>
      </c>
      <c r="S325" s="24">
        <v>0</v>
      </c>
      <c r="T325">
        <f>Q325/100</f>
        <v>0</v>
      </c>
      <c r="U325">
        <f>R325/100</f>
        <v>0</v>
      </c>
      <c r="V325">
        <f>S325/100</f>
        <v>0</v>
      </c>
      <c r="W325">
        <v>0.72867999999999999</v>
      </c>
      <c r="X325">
        <v>0.47899999999999998</v>
      </c>
      <c r="Y325">
        <v>0.47899999999999998</v>
      </c>
      <c r="Z325" s="5">
        <f t="shared" si="18"/>
        <v>47.9</v>
      </c>
    </row>
    <row r="326" spans="1:26" x14ac:dyDescent="0.25">
      <c r="A326" t="s">
        <v>8</v>
      </c>
      <c r="B326">
        <v>9</v>
      </c>
      <c r="C326">
        <v>2006</v>
      </c>
      <c r="D326" s="5">
        <v>31.8</v>
      </c>
      <c r="E326" s="5">
        <v>47.1</v>
      </c>
      <c r="F326" s="5">
        <f t="shared" si="17"/>
        <v>15.3</v>
      </c>
      <c r="G326" s="7">
        <v>1.02002025</v>
      </c>
      <c r="H326" s="7">
        <v>6.4833756749350071</v>
      </c>
      <c r="I326" s="8">
        <v>42672.305311999997</v>
      </c>
      <c r="J326" s="12">
        <v>2.6343040000000002</v>
      </c>
      <c r="K326" s="7">
        <v>68.052164476998797</v>
      </c>
      <c r="L326" s="5">
        <v>0.63426184654235795</v>
      </c>
      <c r="M326" s="5">
        <v>63.426184654235797</v>
      </c>
      <c r="N326" s="16">
        <v>1.9978378000000001</v>
      </c>
      <c r="O326" s="20">
        <v>3.7427027000000002</v>
      </c>
      <c r="P326" s="16">
        <v>1.8733766000000001</v>
      </c>
      <c r="Q326" s="25">
        <f t="shared" si="19"/>
        <v>0</v>
      </c>
      <c r="R326">
        <v>0</v>
      </c>
      <c r="S326" s="24">
        <v>0</v>
      </c>
      <c r="T326">
        <f>Q326/100</f>
        <v>0</v>
      </c>
      <c r="U326">
        <f>R326/100</f>
        <v>0</v>
      </c>
      <c r="V326">
        <f>S326/100</f>
        <v>0</v>
      </c>
      <c r="W326">
        <v>0.72648000000000001</v>
      </c>
      <c r="X326">
        <v>0.48299999999999998</v>
      </c>
      <c r="Y326">
        <v>0.48299999999999998</v>
      </c>
      <c r="Z326" s="5">
        <f t="shared" si="18"/>
        <v>48.3</v>
      </c>
    </row>
    <row r="327" spans="1:26" x14ac:dyDescent="0.25">
      <c r="A327" t="s">
        <v>8</v>
      </c>
      <c r="B327">
        <v>9</v>
      </c>
      <c r="C327">
        <v>2007</v>
      </c>
      <c r="D327" s="5">
        <v>31.8</v>
      </c>
      <c r="E327" s="5">
        <v>47.2</v>
      </c>
      <c r="F327" s="5">
        <f t="shared" si="17"/>
        <v>15.400000000000002</v>
      </c>
      <c r="G327" s="7">
        <v>1.0213838399999999</v>
      </c>
      <c r="H327" s="7">
        <v>6.1562443821813568</v>
      </c>
      <c r="I327" s="8">
        <v>43135.456582999999</v>
      </c>
      <c r="J327" s="12">
        <v>2.071825</v>
      </c>
      <c r="K327" s="7">
        <v>66.283419748234735</v>
      </c>
      <c r="L327" s="5">
        <v>0.63949495553970304</v>
      </c>
      <c r="M327" s="5">
        <v>63.949495553970301</v>
      </c>
      <c r="N327" s="16">
        <v>1.9852468000000001</v>
      </c>
      <c r="O327" s="20">
        <v>3.7461039</v>
      </c>
      <c r="P327" s="16">
        <v>1.8869714</v>
      </c>
      <c r="Q327" s="25">
        <f t="shared" si="19"/>
        <v>0</v>
      </c>
      <c r="R327">
        <v>0</v>
      </c>
      <c r="S327" s="24">
        <v>0</v>
      </c>
      <c r="T327">
        <f>Q327/100</f>
        <v>0</v>
      </c>
      <c r="U327">
        <f>R327/100</f>
        <v>0</v>
      </c>
      <c r="V327">
        <f>S327/100</f>
        <v>0</v>
      </c>
      <c r="W327">
        <v>0.72357000000000005</v>
      </c>
      <c r="X327">
        <v>0.48099999999999998</v>
      </c>
      <c r="Y327">
        <v>0.48099999999999998</v>
      </c>
      <c r="Z327" s="5">
        <f t="shared" si="18"/>
        <v>48.1</v>
      </c>
    </row>
    <row r="328" spans="1:26" x14ac:dyDescent="0.25">
      <c r="A328" t="s">
        <v>8</v>
      </c>
      <c r="B328">
        <v>9</v>
      </c>
      <c r="C328">
        <v>2008</v>
      </c>
      <c r="D328" s="5">
        <v>31.9</v>
      </c>
      <c r="E328" s="5">
        <v>47.5</v>
      </c>
      <c r="F328" s="5">
        <f t="shared" si="17"/>
        <v>15.600000000000001</v>
      </c>
      <c r="G328" s="7">
        <v>1.02370271</v>
      </c>
      <c r="H328" s="7">
        <v>6.2839583977750983</v>
      </c>
      <c r="I328" s="8">
        <v>43099.398601000001</v>
      </c>
      <c r="J328" s="12">
        <v>1.004289</v>
      </c>
      <c r="K328" s="7">
        <v>67.023608361898326</v>
      </c>
      <c r="L328" s="5">
        <v>0.63119775056839</v>
      </c>
      <c r="M328" s="5">
        <v>63.119775056839003</v>
      </c>
      <c r="N328" s="16">
        <v>1.99</v>
      </c>
      <c r="O328" s="20">
        <v>3.75</v>
      </c>
      <c r="P328" s="16">
        <v>1.8844221000000001</v>
      </c>
      <c r="Q328" s="25">
        <f t="shared" si="19"/>
        <v>0</v>
      </c>
      <c r="R328">
        <v>0</v>
      </c>
      <c r="S328" s="24">
        <v>0</v>
      </c>
      <c r="T328">
        <f>Q328/100</f>
        <v>0</v>
      </c>
      <c r="U328">
        <f>R328/100</f>
        <v>0</v>
      </c>
      <c r="V328">
        <f>S328/100</f>
        <v>0</v>
      </c>
      <c r="W328">
        <v>0.72287999999999997</v>
      </c>
      <c r="X328">
        <v>0.48</v>
      </c>
      <c r="Y328">
        <v>0.48</v>
      </c>
      <c r="Z328" s="5">
        <f t="shared" si="18"/>
        <v>48</v>
      </c>
    </row>
    <row r="329" spans="1:26" x14ac:dyDescent="0.25">
      <c r="A329" t="s">
        <v>8</v>
      </c>
      <c r="B329">
        <v>9</v>
      </c>
      <c r="C329">
        <v>2009</v>
      </c>
      <c r="D329" s="5">
        <v>32</v>
      </c>
      <c r="E329" s="5">
        <v>47.8</v>
      </c>
      <c r="F329" s="5">
        <f t="shared" si="17"/>
        <v>15.799999999999997</v>
      </c>
      <c r="G329" s="7">
        <v>1.0029946679999999</v>
      </c>
      <c r="H329" s="7">
        <v>8.4597654051868734</v>
      </c>
      <c r="I329" s="8">
        <v>41363.353513000002</v>
      </c>
      <c r="J329" s="12">
        <v>-2.9259559999999998</v>
      </c>
      <c r="K329" s="7">
        <v>58.474391822489679</v>
      </c>
      <c r="L329" s="5">
        <v>0.67254483699798595</v>
      </c>
      <c r="M329" s="5">
        <v>67.254483699798598</v>
      </c>
      <c r="N329" s="16">
        <v>1.9453472999999999</v>
      </c>
      <c r="O329" s="20">
        <v>3.7038641999999999</v>
      </c>
      <c r="P329" s="16">
        <v>1.9039604000000001</v>
      </c>
      <c r="Q329" s="25">
        <f t="shared" si="19"/>
        <v>0</v>
      </c>
      <c r="R329">
        <v>0</v>
      </c>
      <c r="S329" s="24">
        <v>0</v>
      </c>
      <c r="T329">
        <f>Q329/100</f>
        <v>0</v>
      </c>
      <c r="U329">
        <f>R329/100</f>
        <v>0</v>
      </c>
      <c r="V329">
        <f>S329/100</f>
        <v>0</v>
      </c>
      <c r="W329">
        <v>0.72921999999999998</v>
      </c>
      <c r="X329">
        <v>0.48399999999999999</v>
      </c>
      <c r="Y329">
        <v>0.48399999999999999</v>
      </c>
      <c r="Z329" s="5">
        <f t="shared" si="18"/>
        <v>48.4</v>
      </c>
    </row>
    <row r="330" spans="1:26" x14ac:dyDescent="0.25">
      <c r="A330" t="s">
        <v>8</v>
      </c>
      <c r="B330">
        <v>9</v>
      </c>
      <c r="C330">
        <v>2010</v>
      </c>
      <c r="D330" s="5">
        <v>31.8</v>
      </c>
      <c r="E330" s="5">
        <v>47.9</v>
      </c>
      <c r="F330" s="5">
        <f t="shared" si="17"/>
        <v>16.099999999999998</v>
      </c>
      <c r="G330" s="7">
        <v>1.0177687200000001</v>
      </c>
      <c r="H330" s="7">
        <v>8.1779621142715602</v>
      </c>
      <c r="I330" s="8">
        <v>42169.958895999996</v>
      </c>
      <c r="J330" s="12">
        <v>3.0899190000000001</v>
      </c>
      <c r="K330" s="7">
        <v>60.208121504448251</v>
      </c>
      <c r="L330" s="5">
        <v>0.65095168352127097</v>
      </c>
      <c r="M330" s="5">
        <v>65.095168352127104</v>
      </c>
      <c r="N330" s="16">
        <v>1.970318</v>
      </c>
      <c r="O330" s="20">
        <v>3.7144876</v>
      </c>
      <c r="P330" s="16">
        <v>1.8852224</v>
      </c>
      <c r="Q330" s="25">
        <f t="shared" si="19"/>
        <v>3.9580000000000004E-2</v>
      </c>
      <c r="R330">
        <v>2.163E-2</v>
      </c>
      <c r="S330" s="24">
        <v>1.7950000000000001E-2</v>
      </c>
      <c r="T330">
        <f>Q330/100</f>
        <v>3.9580000000000003E-4</v>
      </c>
      <c r="U330">
        <f>R330/100</f>
        <v>2.163E-4</v>
      </c>
      <c r="V330">
        <f>S330/100</f>
        <v>1.795E-4</v>
      </c>
      <c r="W330">
        <v>0.73024</v>
      </c>
      <c r="X330">
        <v>0.48299999999999998</v>
      </c>
      <c r="Y330">
        <v>0.48299999999999998</v>
      </c>
      <c r="Z330" s="5">
        <f t="shared" si="18"/>
        <v>48.3</v>
      </c>
    </row>
    <row r="331" spans="1:26" x14ac:dyDescent="0.25">
      <c r="A331" t="s">
        <v>8</v>
      </c>
      <c r="B331">
        <v>9</v>
      </c>
      <c r="C331">
        <v>2011</v>
      </c>
      <c r="D331" s="5">
        <v>31.6</v>
      </c>
      <c r="E331" s="5">
        <v>47.6</v>
      </c>
      <c r="F331" s="5">
        <f t="shared" si="17"/>
        <v>16</v>
      </c>
      <c r="G331" s="7">
        <v>1.02912135</v>
      </c>
      <c r="H331" s="7">
        <v>7.6373125486738749</v>
      </c>
      <c r="I331" s="8">
        <v>43073.043636000002</v>
      </c>
      <c r="J331" s="12">
        <v>3.1461000000000001</v>
      </c>
      <c r="K331" s="7">
        <v>62.49873877083283</v>
      </c>
      <c r="L331" s="5">
        <v>0.63958919048309304</v>
      </c>
      <c r="M331" s="5">
        <v>63.958919048309305</v>
      </c>
      <c r="N331" s="16">
        <v>1.9227273</v>
      </c>
      <c r="O331" s="20">
        <v>3.6709090999999998</v>
      </c>
      <c r="P331" s="16">
        <v>1.9092199000000001</v>
      </c>
      <c r="Q331" s="25">
        <f t="shared" si="19"/>
        <v>9.0150000000000008E-2</v>
      </c>
      <c r="R331">
        <v>7.0230000000000001E-2</v>
      </c>
      <c r="S331" s="24">
        <v>1.992E-2</v>
      </c>
      <c r="T331">
        <f>Q331/100</f>
        <v>9.0150000000000007E-4</v>
      </c>
      <c r="U331">
        <f>R331/100</f>
        <v>7.0229999999999999E-4</v>
      </c>
      <c r="V331">
        <f>S331/100</f>
        <v>1.9919999999999999E-4</v>
      </c>
      <c r="W331">
        <v>0.72577000000000003</v>
      </c>
      <c r="X331">
        <v>0.47599999999999998</v>
      </c>
      <c r="Y331">
        <v>0.47599999999999998</v>
      </c>
      <c r="Z331" s="5">
        <f t="shared" si="18"/>
        <v>47.599999999999994</v>
      </c>
    </row>
    <row r="332" spans="1:26" x14ac:dyDescent="0.25">
      <c r="A332" t="s">
        <v>8</v>
      </c>
      <c r="B332">
        <v>9</v>
      </c>
      <c r="C332">
        <v>2012</v>
      </c>
      <c r="D332" s="5">
        <v>31.7</v>
      </c>
      <c r="E332" s="5">
        <v>47.5</v>
      </c>
      <c r="F332" s="5">
        <f t="shared" si="17"/>
        <v>15.8</v>
      </c>
      <c r="G332" s="7">
        <v>1.0151567800000001</v>
      </c>
      <c r="H332" s="7">
        <v>7.3922291819020076</v>
      </c>
      <c r="I332" s="8">
        <v>43358.187452999999</v>
      </c>
      <c r="J332" s="12">
        <v>1.7609619999999999</v>
      </c>
      <c r="K332" s="7">
        <v>62.595548939500489</v>
      </c>
      <c r="L332" s="5">
        <v>0.65056157112121604</v>
      </c>
      <c r="M332" s="5">
        <v>65.05615711212161</v>
      </c>
      <c r="N332" s="16">
        <v>1.9444444000000001</v>
      </c>
      <c r="O332" s="20">
        <v>3.6906667</v>
      </c>
      <c r="P332" s="16">
        <v>1.8980570999999999</v>
      </c>
      <c r="Q332" s="25">
        <f t="shared" si="19"/>
        <v>0.25228</v>
      </c>
      <c r="R332">
        <v>0.22266000000000002</v>
      </c>
      <c r="S332" s="24">
        <v>2.962E-2</v>
      </c>
      <c r="T332">
        <f>Q332/100</f>
        <v>2.5228E-3</v>
      </c>
      <c r="U332">
        <f>R332/100</f>
        <v>2.2266000000000005E-3</v>
      </c>
      <c r="V332">
        <f>S332/100</f>
        <v>2.9619999999999999E-4</v>
      </c>
      <c r="W332">
        <v>0.72452000000000005</v>
      </c>
      <c r="X332">
        <v>0.47099999999999997</v>
      </c>
      <c r="Y332">
        <v>0.47099999999999997</v>
      </c>
      <c r="Z332" s="5">
        <f t="shared" si="18"/>
        <v>47.099999999999994</v>
      </c>
    </row>
    <row r="333" spans="1:26" x14ac:dyDescent="0.25">
      <c r="A333" t="s">
        <v>8</v>
      </c>
      <c r="B333">
        <v>9</v>
      </c>
      <c r="C333">
        <v>2013</v>
      </c>
      <c r="D333" s="5">
        <v>31.8</v>
      </c>
      <c r="E333" s="5">
        <v>47.6</v>
      </c>
      <c r="F333" s="5">
        <f t="shared" si="17"/>
        <v>15.8</v>
      </c>
      <c r="G333" s="7">
        <v>1.0093829190000001</v>
      </c>
      <c r="H333" s="7">
        <v>7.1431349975255198</v>
      </c>
      <c r="I333" s="8">
        <v>43901.731687</v>
      </c>
      <c r="J333" s="12">
        <v>2.3291230000000001</v>
      </c>
      <c r="K333" s="7">
        <v>62.231074901340463</v>
      </c>
      <c r="L333" s="5">
        <v>0.64968848228454601</v>
      </c>
      <c r="M333" s="5">
        <v>64.968848228454604</v>
      </c>
      <c r="N333" s="16">
        <v>1.9308238</v>
      </c>
      <c r="O333" s="20">
        <v>3.7534097000000002</v>
      </c>
      <c r="P333" s="16">
        <v>1.9439420999999999</v>
      </c>
      <c r="Q333" s="25">
        <f t="shared" si="19"/>
        <v>0.28832999999999998</v>
      </c>
      <c r="R333">
        <v>0.24740999999999999</v>
      </c>
      <c r="S333" s="24">
        <v>4.0919999999999998E-2</v>
      </c>
      <c r="T333">
        <f>Q333/100</f>
        <v>2.8832999999999997E-3</v>
      </c>
      <c r="U333">
        <f>R333/100</f>
        <v>2.4740999999999999E-3</v>
      </c>
      <c r="V333">
        <f>S333/100</f>
        <v>4.0919999999999997E-4</v>
      </c>
      <c r="W333">
        <v>0.72531000000000001</v>
      </c>
      <c r="X333">
        <v>0.47399999999999998</v>
      </c>
      <c r="Y333">
        <v>0.47399999999999998</v>
      </c>
      <c r="Z333" s="5">
        <f t="shared" si="18"/>
        <v>47.4</v>
      </c>
    </row>
    <row r="334" spans="1:26" x14ac:dyDescent="0.25">
      <c r="A334" t="s">
        <v>8</v>
      </c>
      <c r="B334">
        <v>9</v>
      </c>
      <c r="C334">
        <v>2014</v>
      </c>
      <c r="D334" s="5">
        <v>31.6</v>
      </c>
      <c r="E334" s="5">
        <v>47.6</v>
      </c>
      <c r="F334" s="5">
        <f t="shared" si="17"/>
        <v>16</v>
      </c>
      <c r="G334" s="7">
        <v>1.0190663600000001</v>
      </c>
      <c r="H334" s="7">
        <v>7.0230042930123391</v>
      </c>
      <c r="I334" s="8">
        <v>44709.974021000002</v>
      </c>
      <c r="J334" s="12">
        <v>2.8700359999999998</v>
      </c>
      <c r="K334" s="7">
        <v>64.378662156492297</v>
      </c>
      <c r="L334" s="5">
        <v>0.64180654287338301</v>
      </c>
      <c r="M334" s="5">
        <v>64.180654287338299</v>
      </c>
      <c r="N334" s="16">
        <v>1.9506437999999999</v>
      </c>
      <c r="O334" s="20">
        <v>3.7141630999999999</v>
      </c>
      <c r="P334" s="16">
        <v>1.9040703999999999</v>
      </c>
      <c r="Q334" s="25">
        <f t="shared" si="19"/>
        <v>0.45267000000000002</v>
      </c>
      <c r="R334">
        <v>0.41615000000000002</v>
      </c>
      <c r="S334" s="24">
        <v>3.6520000000000004E-2</v>
      </c>
      <c r="T334">
        <f>Q334/100</f>
        <v>4.5266999999999998E-3</v>
      </c>
      <c r="U334">
        <f>R334/100</f>
        <v>4.1615000000000003E-3</v>
      </c>
      <c r="V334">
        <f>S334/100</f>
        <v>3.6520000000000004E-4</v>
      </c>
      <c r="W334">
        <v>0.72475000000000001</v>
      </c>
      <c r="X334">
        <v>0.47399999999999998</v>
      </c>
      <c r="Y334">
        <v>0.47399999999999998</v>
      </c>
      <c r="Z334" s="5">
        <f t="shared" si="18"/>
        <v>47.4</v>
      </c>
    </row>
    <row r="335" spans="1:26" x14ac:dyDescent="0.25">
      <c r="A335" t="s">
        <v>21</v>
      </c>
      <c r="B335">
        <v>10</v>
      </c>
      <c r="C335">
        <v>1978</v>
      </c>
      <c r="D335" s="5">
        <v>24.1</v>
      </c>
      <c r="E335" s="5">
        <v>43.1</v>
      </c>
      <c r="F335" s="5">
        <f t="shared" si="17"/>
        <v>19</v>
      </c>
      <c r="G335" s="7">
        <v>1.1021365000000001</v>
      </c>
      <c r="H335" s="7">
        <v>8.3759339362957146</v>
      </c>
      <c r="I335" s="8">
        <v>28677.016098</v>
      </c>
      <c r="J335" s="12">
        <v>2.2263090000000001</v>
      </c>
      <c r="K335" s="7">
        <v>57.052683753044185</v>
      </c>
      <c r="L335" s="5">
        <v>0.64162868261337302</v>
      </c>
      <c r="M335" s="5">
        <v>64.162868261337309</v>
      </c>
      <c r="Q335" s="25">
        <f t="shared" si="19"/>
        <v>0</v>
      </c>
      <c r="R335">
        <v>0</v>
      </c>
      <c r="S335" s="24">
        <v>0</v>
      </c>
      <c r="T335">
        <f>Q335/100</f>
        <v>0</v>
      </c>
      <c r="U335">
        <f>R335/100</f>
        <v>0</v>
      </c>
      <c r="V335">
        <f>S335/100</f>
        <v>0</v>
      </c>
    </row>
    <row r="336" spans="1:26" x14ac:dyDescent="0.25">
      <c r="A336" t="s">
        <v>21</v>
      </c>
      <c r="B336">
        <v>10</v>
      </c>
      <c r="C336">
        <v>1979</v>
      </c>
      <c r="D336" s="5">
        <v>23.9</v>
      </c>
      <c r="E336" s="5">
        <v>43.1</v>
      </c>
      <c r="F336" s="5">
        <f t="shared" si="17"/>
        <v>19.200000000000003</v>
      </c>
      <c r="G336" s="7">
        <v>1.0961105499999999</v>
      </c>
      <c r="H336" s="7">
        <v>6.0477657935285052</v>
      </c>
      <c r="I336" s="8">
        <v>29710.902340000001</v>
      </c>
      <c r="J336" s="12">
        <v>3.8691119999999999</v>
      </c>
      <c r="K336" s="7">
        <v>60.847880805149799</v>
      </c>
      <c r="L336" s="5">
        <v>0.64162868261337302</v>
      </c>
      <c r="M336" s="5">
        <v>64.162868261337309</v>
      </c>
      <c r="Q336" s="25">
        <f t="shared" si="19"/>
        <v>0</v>
      </c>
      <c r="R336">
        <v>0</v>
      </c>
      <c r="S336" s="24">
        <v>0</v>
      </c>
      <c r="T336">
        <f>Q336/100</f>
        <v>0</v>
      </c>
      <c r="U336">
        <f>R336/100</f>
        <v>0</v>
      </c>
      <c r="V336">
        <f>S336/100</f>
        <v>0</v>
      </c>
    </row>
    <row r="337" spans="1:26" x14ac:dyDescent="0.25">
      <c r="A337" t="s">
        <v>21</v>
      </c>
      <c r="B337">
        <v>10</v>
      </c>
      <c r="C337">
        <v>1980</v>
      </c>
      <c r="D337" s="5">
        <v>23.8</v>
      </c>
      <c r="E337" s="5">
        <v>43</v>
      </c>
      <c r="F337" s="5">
        <f t="shared" si="17"/>
        <v>19.2</v>
      </c>
      <c r="G337" s="7">
        <v>1.1230532</v>
      </c>
      <c r="H337" s="7">
        <v>6.9329314242652593</v>
      </c>
      <c r="I337" s="8">
        <v>29532.780470999998</v>
      </c>
      <c r="J337" s="12">
        <v>-0.48298600000000003</v>
      </c>
      <c r="K337" s="7">
        <v>65.455947917013077</v>
      </c>
      <c r="L337" s="5">
        <v>0.64162868261337302</v>
      </c>
      <c r="M337" s="5">
        <v>64.162868261337309</v>
      </c>
      <c r="N337" s="16">
        <v>1.4066974000000001</v>
      </c>
      <c r="P337" s="16">
        <v>1.5169915</v>
      </c>
      <c r="Q337" s="25">
        <f t="shared" si="19"/>
        <v>0</v>
      </c>
      <c r="R337">
        <v>0</v>
      </c>
      <c r="S337" s="24">
        <v>0</v>
      </c>
      <c r="T337">
        <f>Q337/100</f>
        <v>0</v>
      </c>
      <c r="U337">
        <f>R337/100</f>
        <v>0</v>
      </c>
      <c r="V337">
        <f>S337/100</f>
        <v>0</v>
      </c>
    </row>
    <row r="338" spans="1:26" x14ac:dyDescent="0.25">
      <c r="A338" t="s">
        <v>21</v>
      </c>
      <c r="B338">
        <v>10</v>
      </c>
      <c r="C338">
        <v>1981</v>
      </c>
      <c r="D338" s="5">
        <v>23.5</v>
      </c>
      <c r="E338" s="5">
        <v>42.8</v>
      </c>
      <c r="F338" s="5">
        <f t="shared" si="17"/>
        <v>19.299999999999997</v>
      </c>
      <c r="G338" s="7">
        <v>1.1176739</v>
      </c>
      <c r="H338" s="7">
        <v>10.434782608695652</v>
      </c>
      <c r="I338" s="8">
        <v>29347.510430999999</v>
      </c>
      <c r="J338" s="12">
        <v>-0.66612400000000005</v>
      </c>
      <c r="K338" s="7">
        <v>70.744651497904556</v>
      </c>
      <c r="L338" s="5">
        <v>0.64162868261337302</v>
      </c>
      <c r="M338" s="5">
        <v>64.162868261337309</v>
      </c>
      <c r="N338" s="16">
        <v>1.4140436000000001</v>
      </c>
      <c r="P338" s="16">
        <v>1.5306663</v>
      </c>
      <c r="Q338" s="25">
        <f t="shared" si="19"/>
        <v>0</v>
      </c>
      <c r="R338">
        <v>0</v>
      </c>
      <c r="S338" s="24">
        <v>0</v>
      </c>
      <c r="T338">
        <f>Q338/100</f>
        <v>0</v>
      </c>
      <c r="U338">
        <f>R338/100</f>
        <v>0</v>
      </c>
      <c r="V338">
        <f>S338/100</f>
        <v>0</v>
      </c>
    </row>
    <row r="339" spans="1:26" x14ac:dyDescent="0.25">
      <c r="A339" t="s">
        <v>21</v>
      </c>
      <c r="B339">
        <v>10</v>
      </c>
      <c r="C339">
        <v>1982</v>
      </c>
      <c r="D339" s="5">
        <v>23.1</v>
      </c>
      <c r="E339" s="5">
        <v>42.6</v>
      </c>
      <c r="F339" s="5">
        <f t="shared" si="17"/>
        <v>19.5</v>
      </c>
      <c r="G339" s="7">
        <v>1.1012082000000001</v>
      </c>
      <c r="H339" s="7">
        <v>11.086142322097379</v>
      </c>
      <c r="I339" s="8">
        <v>30452.622667</v>
      </c>
      <c r="J339" s="12">
        <v>3.6845729999999999</v>
      </c>
      <c r="K339" s="7">
        <v>70.838691179900408</v>
      </c>
      <c r="L339" s="5">
        <v>0.64162868261337302</v>
      </c>
      <c r="M339" s="5">
        <v>64.162868261337309</v>
      </c>
      <c r="N339" s="16">
        <v>1.3990556999999999</v>
      </c>
      <c r="P339" s="16">
        <v>1.5473812</v>
      </c>
      <c r="Q339" s="25">
        <f t="shared" si="19"/>
        <v>0</v>
      </c>
      <c r="R339">
        <v>0</v>
      </c>
      <c r="S339" s="24">
        <v>0</v>
      </c>
      <c r="T339">
        <f>Q339/100</f>
        <v>0</v>
      </c>
      <c r="U339">
        <f>R339/100</f>
        <v>0</v>
      </c>
      <c r="V339">
        <f>S339/100</f>
        <v>0</v>
      </c>
    </row>
    <row r="340" spans="1:26" x14ac:dyDescent="0.25">
      <c r="A340" t="s">
        <v>21</v>
      </c>
      <c r="B340">
        <v>10</v>
      </c>
      <c r="C340">
        <v>1983</v>
      </c>
      <c r="D340" s="5">
        <v>22.8</v>
      </c>
      <c r="E340" s="5">
        <v>42.3</v>
      </c>
      <c r="F340" s="5">
        <f t="shared" si="17"/>
        <v>19.499999999999996</v>
      </c>
      <c r="G340" s="7">
        <v>1.0690822900000001</v>
      </c>
      <c r="H340" s="7">
        <v>9.7436474871448411</v>
      </c>
      <c r="I340" s="8">
        <v>31267.632038</v>
      </c>
      <c r="J340" s="12">
        <v>2.5960719999999999</v>
      </c>
      <c r="K340" s="7">
        <v>69.633055387311629</v>
      </c>
      <c r="L340" s="5">
        <v>0.64162868261337302</v>
      </c>
      <c r="M340" s="5">
        <v>64.162868261337309</v>
      </c>
      <c r="N340" s="16">
        <v>1.3846019000000001</v>
      </c>
      <c r="P340" s="16">
        <v>1.5740342</v>
      </c>
      <c r="Q340" s="25">
        <f t="shared" si="19"/>
        <v>3.0187200000000001</v>
      </c>
      <c r="R340">
        <v>1.90286</v>
      </c>
      <c r="S340" s="24">
        <v>1.1158600000000001</v>
      </c>
      <c r="T340">
        <f>Q340/100</f>
        <v>3.0187200000000001E-2</v>
      </c>
      <c r="U340">
        <f>R340/100</f>
        <v>1.90286E-2</v>
      </c>
      <c r="V340">
        <f>S340/100</f>
        <v>1.1158600000000001E-2</v>
      </c>
    </row>
    <row r="341" spans="1:26" x14ac:dyDescent="0.25">
      <c r="A341" t="s">
        <v>21</v>
      </c>
      <c r="B341">
        <v>10</v>
      </c>
      <c r="C341">
        <v>1984</v>
      </c>
      <c r="D341" s="5">
        <v>22.6</v>
      </c>
      <c r="E341" s="5">
        <v>42</v>
      </c>
      <c r="F341" s="5">
        <f t="shared" si="17"/>
        <v>19.399999999999999</v>
      </c>
      <c r="G341" s="7">
        <v>1.0629078199999999</v>
      </c>
      <c r="H341" s="7">
        <v>8.8670494699646643</v>
      </c>
      <c r="I341" s="8">
        <v>32589.402483999998</v>
      </c>
      <c r="J341" s="12">
        <v>4.1661380000000001</v>
      </c>
      <c r="K341" s="7">
        <v>70.908593631499713</v>
      </c>
      <c r="L341" s="5">
        <v>0.64162868261337302</v>
      </c>
      <c r="M341" s="5">
        <v>64.162868261337309</v>
      </c>
      <c r="N341" s="16">
        <v>1.3917439</v>
      </c>
      <c r="P341" s="16">
        <v>1.5800242</v>
      </c>
      <c r="Q341" s="25">
        <f t="shared" si="19"/>
        <v>1.7468300000000001</v>
      </c>
      <c r="R341">
        <v>1.9648500000000002</v>
      </c>
      <c r="S341" s="24">
        <v>-0.21801999999999999</v>
      </c>
      <c r="T341">
        <f>Q341/100</f>
        <v>1.7468300000000003E-2</v>
      </c>
      <c r="U341">
        <f>R341/100</f>
        <v>1.9648500000000003E-2</v>
      </c>
      <c r="V341">
        <f>S341/100</f>
        <v>-2.1801999999999998E-3</v>
      </c>
    </row>
    <row r="342" spans="1:26" x14ac:dyDescent="0.25">
      <c r="A342" t="s">
        <v>21</v>
      </c>
      <c r="B342">
        <v>10</v>
      </c>
      <c r="C342">
        <v>1985</v>
      </c>
      <c r="D342" s="5">
        <v>22.6</v>
      </c>
      <c r="E342" s="5">
        <v>41.8</v>
      </c>
      <c r="F342" s="5">
        <f t="shared" si="17"/>
        <v>19.199999999999996</v>
      </c>
      <c r="G342" s="7">
        <v>1.04678746</v>
      </c>
      <c r="H342" s="7">
        <v>7.7956501216368324</v>
      </c>
      <c r="I342" s="8">
        <v>33880.943212999999</v>
      </c>
      <c r="J342" s="12">
        <v>4.0037520000000004</v>
      </c>
      <c r="K342" s="7">
        <v>72.087282665116589</v>
      </c>
      <c r="L342" s="5">
        <v>0.64162868261337302</v>
      </c>
      <c r="M342" s="5">
        <v>64.162868261337309</v>
      </c>
      <c r="N342" s="16">
        <v>1.4075004</v>
      </c>
      <c r="P342" s="16">
        <v>1.5394314</v>
      </c>
      <c r="Q342" s="25">
        <f t="shared" si="19"/>
        <v>1.8167900000000001</v>
      </c>
      <c r="R342">
        <v>0.90839999999999999</v>
      </c>
      <c r="S342" s="24">
        <v>0.90839000000000003</v>
      </c>
      <c r="T342">
        <f>Q342/100</f>
        <v>1.8167900000000001E-2</v>
      </c>
      <c r="U342">
        <f>R342/100</f>
        <v>9.0840000000000001E-3</v>
      </c>
      <c r="V342">
        <f>S342/100</f>
        <v>9.0839000000000007E-3</v>
      </c>
    </row>
    <row r="343" spans="1:26" x14ac:dyDescent="0.25">
      <c r="A343" t="s">
        <v>21</v>
      </c>
      <c r="B343">
        <v>10</v>
      </c>
      <c r="C343">
        <v>1986</v>
      </c>
      <c r="D343" s="5">
        <v>23.2</v>
      </c>
      <c r="E343" s="5">
        <v>41.8</v>
      </c>
      <c r="F343" s="5">
        <f t="shared" si="17"/>
        <v>18.599999999999998</v>
      </c>
      <c r="G343" s="7">
        <v>1.03678187</v>
      </c>
      <c r="H343" s="7">
        <v>6.0326144882225465</v>
      </c>
      <c r="I343" s="8">
        <v>35493.931823999999</v>
      </c>
      <c r="J343" s="12">
        <v>4.9041779999999999</v>
      </c>
      <c r="K343" s="7">
        <v>64.797297715230116</v>
      </c>
      <c r="L343" s="5">
        <v>0.64162868261337302</v>
      </c>
      <c r="M343" s="5">
        <v>64.162868261337309</v>
      </c>
      <c r="N343" s="16">
        <v>1.4188144</v>
      </c>
      <c r="P343" s="16">
        <v>1.5497274999999999</v>
      </c>
      <c r="Q343" s="25">
        <f t="shared" si="19"/>
        <v>0</v>
      </c>
      <c r="R343">
        <v>0</v>
      </c>
      <c r="S343" s="24">
        <v>0</v>
      </c>
      <c r="T343">
        <f>Q343/100</f>
        <v>0</v>
      </c>
      <c r="U343">
        <f>R343/100</f>
        <v>0</v>
      </c>
      <c r="V343">
        <f>S343/100</f>
        <v>0</v>
      </c>
    </row>
    <row r="344" spans="1:26" x14ac:dyDescent="0.25">
      <c r="A344" t="s">
        <v>21</v>
      </c>
      <c r="B344">
        <v>10</v>
      </c>
      <c r="C344">
        <v>1987</v>
      </c>
      <c r="D344" s="5">
        <v>24.2</v>
      </c>
      <c r="E344" s="5">
        <v>41.7</v>
      </c>
      <c r="F344" s="5">
        <f t="shared" si="17"/>
        <v>17.500000000000004</v>
      </c>
      <c r="G344" s="7">
        <v>1.0401999</v>
      </c>
      <c r="H344" s="7">
        <v>6.0902470369841497</v>
      </c>
      <c r="I344" s="8">
        <v>35535.597088000002</v>
      </c>
      <c r="J344" s="12">
        <v>0.25426599999999999</v>
      </c>
      <c r="K344" s="7">
        <v>61.35285593012776</v>
      </c>
      <c r="L344" s="5">
        <v>0.64162868261337302</v>
      </c>
      <c r="M344" s="5">
        <v>64.162868261337309</v>
      </c>
      <c r="N344" s="16">
        <v>1.4090644999999999</v>
      </c>
      <c r="P344" s="16">
        <v>1.5604123999999999</v>
      </c>
      <c r="Q344" s="25">
        <f t="shared" si="19"/>
        <v>0</v>
      </c>
      <c r="R344">
        <v>0</v>
      </c>
      <c r="S344" s="24">
        <v>0</v>
      </c>
      <c r="T344">
        <f>Q344/100</f>
        <v>0</v>
      </c>
      <c r="U344">
        <f>R344/100</f>
        <v>0</v>
      </c>
      <c r="V344">
        <f>S344/100</f>
        <v>0</v>
      </c>
      <c r="W344">
        <v>0.65081</v>
      </c>
      <c r="X344">
        <v>0.35099999999999998</v>
      </c>
      <c r="Y344">
        <v>0.35099999999999998</v>
      </c>
      <c r="Z344" s="5">
        <f>Y344*100</f>
        <v>35.099999999999994</v>
      </c>
    </row>
    <row r="345" spans="1:26" x14ac:dyDescent="0.25">
      <c r="A345" t="s">
        <v>21</v>
      </c>
      <c r="B345">
        <v>10</v>
      </c>
      <c r="C345">
        <v>1988</v>
      </c>
      <c r="D345" s="5">
        <v>23</v>
      </c>
      <c r="E345" s="5">
        <v>41.7</v>
      </c>
      <c r="F345" s="5">
        <f t="shared" si="17"/>
        <v>18.700000000000003</v>
      </c>
      <c r="G345" s="7">
        <v>1.04535135</v>
      </c>
      <c r="H345" s="7">
        <v>6.4868067900589077</v>
      </c>
      <c r="I345" s="8">
        <v>35509.985610999996</v>
      </c>
      <c r="J345" s="12">
        <v>-1.3601E-2</v>
      </c>
      <c r="K345" s="7">
        <v>63.755279116144912</v>
      </c>
      <c r="L345" s="5">
        <v>0.64162868261337302</v>
      </c>
      <c r="M345" s="5">
        <v>64.162868261337309</v>
      </c>
      <c r="N345" s="16">
        <v>1.4000269000000001</v>
      </c>
      <c r="P345" s="16">
        <v>1.5549366</v>
      </c>
      <c r="Q345" s="25">
        <f t="shared" si="19"/>
        <v>0</v>
      </c>
      <c r="R345">
        <v>0</v>
      </c>
      <c r="S345" s="24">
        <v>0</v>
      </c>
      <c r="T345">
        <f>Q345/100</f>
        <v>0</v>
      </c>
      <c r="U345">
        <f>R345/100</f>
        <v>0</v>
      </c>
      <c r="V345">
        <f>S345/100</f>
        <v>0</v>
      </c>
      <c r="Y345">
        <v>0.35399999999999998</v>
      </c>
      <c r="Z345" s="5">
        <f t="shared" ref="Z345:Z373" si="20">Y345*100</f>
        <v>35.4</v>
      </c>
    </row>
    <row r="346" spans="1:26" x14ac:dyDescent="0.25">
      <c r="A346" t="s">
        <v>21</v>
      </c>
      <c r="B346">
        <v>10</v>
      </c>
      <c r="C346">
        <v>1989</v>
      </c>
      <c r="D346" s="5">
        <v>22.5</v>
      </c>
      <c r="E346" s="5">
        <v>41.8</v>
      </c>
      <c r="F346" s="5">
        <f t="shared" si="17"/>
        <v>19.299999999999997</v>
      </c>
      <c r="G346" s="7">
        <v>1.04772727</v>
      </c>
      <c r="H346" s="7">
        <v>8.1502950728079053</v>
      </c>
      <c r="I346" s="8">
        <v>35725.163634999997</v>
      </c>
      <c r="J346" s="12">
        <v>0.64518699999999995</v>
      </c>
      <c r="K346" s="7">
        <v>67.044870447938791</v>
      </c>
      <c r="L346" s="5">
        <v>0.64162868261337302</v>
      </c>
      <c r="M346" s="5">
        <v>64.162868261337309</v>
      </c>
      <c r="N346" s="16">
        <v>1.3878012</v>
      </c>
      <c r="P346" s="16">
        <v>1.5653824999999999</v>
      </c>
      <c r="Q346" s="25">
        <f t="shared" si="19"/>
        <v>0</v>
      </c>
      <c r="R346">
        <v>0</v>
      </c>
      <c r="S346" s="24">
        <v>0</v>
      </c>
      <c r="T346">
        <f>Q346/100</f>
        <v>0</v>
      </c>
      <c r="U346">
        <f>R346/100</f>
        <v>0</v>
      </c>
      <c r="V346">
        <f>S346/100</f>
        <v>0</v>
      </c>
      <c r="Y346">
        <v>0.35699999999999998</v>
      </c>
      <c r="Z346" s="5">
        <f t="shared" si="20"/>
        <v>35.699999999999996</v>
      </c>
    </row>
    <row r="347" spans="1:26" x14ac:dyDescent="0.25">
      <c r="A347" t="s">
        <v>21</v>
      </c>
      <c r="B347">
        <v>10</v>
      </c>
      <c r="C347">
        <v>1990</v>
      </c>
      <c r="D347" s="5">
        <v>22.5</v>
      </c>
      <c r="E347" s="5">
        <v>42.3</v>
      </c>
      <c r="F347" s="5">
        <f t="shared" si="17"/>
        <v>19.799999999999997</v>
      </c>
      <c r="G347" s="7">
        <v>1.026416</v>
      </c>
      <c r="H347" s="7">
        <v>8.3382226056945647</v>
      </c>
      <c r="I347" s="8">
        <v>36195.773408000001</v>
      </c>
      <c r="J347" s="12">
        <v>1.475244</v>
      </c>
      <c r="K347" s="7">
        <v>67.29019563231914</v>
      </c>
      <c r="L347" s="5">
        <v>0.64162868261337302</v>
      </c>
      <c r="M347" s="5">
        <v>64.162868261337309</v>
      </c>
      <c r="N347" s="16">
        <v>1.3777619000000001</v>
      </c>
      <c r="P347" s="16">
        <v>1.5671809999999999</v>
      </c>
      <c r="Q347" s="25">
        <f t="shared" si="19"/>
        <v>0</v>
      </c>
      <c r="R347">
        <v>0</v>
      </c>
      <c r="S347" s="24">
        <v>0</v>
      </c>
      <c r="T347">
        <f>Q347/100</f>
        <v>0</v>
      </c>
      <c r="U347">
        <f>R347/100</f>
        <v>0</v>
      </c>
      <c r="V347">
        <f>S347/100</f>
        <v>0</v>
      </c>
      <c r="Y347">
        <v>0.36</v>
      </c>
      <c r="Z347" s="5">
        <f t="shared" si="20"/>
        <v>36</v>
      </c>
    </row>
    <row r="348" spans="1:26" x14ac:dyDescent="0.25">
      <c r="A348" t="s">
        <v>21</v>
      </c>
      <c r="B348">
        <v>10</v>
      </c>
      <c r="C348">
        <v>1991</v>
      </c>
      <c r="D348" s="5">
        <v>22.6</v>
      </c>
      <c r="E348" s="5">
        <v>42.8</v>
      </c>
      <c r="F348" s="5">
        <f t="shared" si="17"/>
        <v>20.199999999999996</v>
      </c>
      <c r="G348" s="7">
        <v>1.0239515299999999</v>
      </c>
      <c r="H348" s="7">
        <v>9.1000034495843245</v>
      </c>
      <c r="I348" s="8">
        <v>36600.519883000001</v>
      </c>
      <c r="J348" s="12">
        <v>1.393634</v>
      </c>
      <c r="K348" s="7">
        <v>69.146527063283884</v>
      </c>
      <c r="L348" s="5">
        <v>0.64162868261337302</v>
      </c>
      <c r="M348" s="5">
        <v>64.162868261337309</v>
      </c>
      <c r="Q348" s="25">
        <f t="shared" si="19"/>
        <v>0</v>
      </c>
      <c r="R348">
        <v>0</v>
      </c>
      <c r="S348" s="24">
        <v>0</v>
      </c>
      <c r="T348">
        <f>Q348/100</f>
        <v>0</v>
      </c>
      <c r="U348">
        <f>R348/100</f>
        <v>0</v>
      </c>
      <c r="V348">
        <f>S348/100</f>
        <v>0</v>
      </c>
      <c r="Y348">
        <v>0.36299999999999999</v>
      </c>
      <c r="Z348" s="5">
        <f t="shared" si="20"/>
        <v>36.299999999999997</v>
      </c>
    </row>
    <row r="349" spans="1:26" x14ac:dyDescent="0.25">
      <c r="A349" t="s">
        <v>21</v>
      </c>
      <c r="B349">
        <v>10</v>
      </c>
      <c r="C349">
        <v>1992</v>
      </c>
      <c r="D349" s="5">
        <v>23.2</v>
      </c>
      <c r="E349" s="5">
        <v>43.7</v>
      </c>
      <c r="F349" s="5">
        <f t="shared" si="17"/>
        <v>20.500000000000004</v>
      </c>
      <c r="G349" s="7">
        <v>1.02096042</v>
      </c>
      <c r="H349" s="7">
        <v>9.026292181353945</v>
      </c>
      <c r="I349" s="8">
        <v>37194.113112999999</v>
      </c>
      <c r="J349" s="12">
        <v>1.9570069999999999</v>
      </c>
      <c r="K349" s="7">
        <v>67.001969748716178</v>
      </c>
      <c r="L349" s="5">
        <v>0.64162868261337302</v>
      </c>
      <c r="M349" s="5">
        <v>64.162868261337309</v>
      </c>
      <c r="Q349" s="25">
        <f t="shared" si="19"/>
        <v>0</v>
      </c>
      <c r="R349">
        <v>0</v>
      </c>
      <c r="S349" s="24">
        <v>0</v>
      </c>
      <c r="T349">
        <f>Q349/100</f>
        <v>0</v>
      </c>
      <c r="U349">
        <f>R349/100</f>
        <v>0</v>
      </c>
      <c r="V349">
        <f>S349/100</f>
        <v>0</v>
      </c>
      <c r="W349">
        <v>0.66581000000000001</v>
      </c>
      <c r="X349">
        <v>0.36599999999999999</v>
      </c>
      <c r="Y349">
        <v>0.36599999999999999</v>
      </c>
      <c r="Z349" s="5">
        <f t="shared" si="20"/>
        <v>36.6</v>
      </c>
    </row>
    <row r="350" spans="1:26" x14ac:dyDescent="0.25">
      <c r="A350" t="s">
        <v>21</v>
      </c>
      <c r="B350">
        <v>10</v>
      </c>
      <c r="C350">
        <v>1993</v>
      </c>
      <c r="D350" s="5">
        <v>22.8</v>
      </c>
      <c r="E350" s="5">
        <v>43.5</v>
      </c>
      <c r="F350" s="5">
        <f t="shared" si="17"/>
        <v>20.7</v>
      </c>
      <c r="G350" s="7">
        <v>1.01257862</v>
      </c>
      <c r="H350" s="7">
        <v>10.719627143403708</v>
      </c>
      <c r="I350" s="8">
        <v>37069.052717999999</v>
      </c>
      <c r="J350" s="12">
        <v>1.0688E-2</v>
      </c>
      <c r="K350" s="7">
        <v>65.604928595962591</v>
      </c>
      <c r="L350" s="5">
        <v>0.64162868261337302</v>
      </c>
      <c r="M350" s="5">
        <v>64.162868261337309</v>
      </c>
      <c r="Q350" s="25">
        <f t="shared" si="19"/>
        <v>0</v>
      </c>
      <c r="R350">
        <v>0</v>
      </c>
      <c r="S350" s="24">
        <v>0</v>
      </c>
      <c r="T350">
        <f>Q350/100</f>
        <v>0</v>
      </c>
      <c r="U350">
        <f>R350/100</f>
        <v>0</v>
      </c>
      <c r="V350">
        <f>S350/100</f>
        <v>0</v>
      </c>
      <c r="Y350">
        <v>0.36666666666666597</v>
      </c>
      <c r="Z350" s="5">
        <f t="shared" si="20"/>
        <v>36.6666666666666</v>
      </c>
    </row>
    <row r="351" spans="1:26" x14ac:dyDescent="0.25">
      <c r="A351" t="s">
        <v>21</v>
      </c>
      <c r="B351">
        <v>10</v>
      </c>
      <c r="C351">
        <v>1994</v>
      </c>
      <c r="D351" s="5">
        <v>22.1</v>
      </c>
      <c r="E351" s="5">
        <v>43.5</v>
      </c>
      <c r="F351" s="5">
        <f t="shared" si="17"/>
        <v>21.4</v>
      </c>
      <c r="G351" s="7">
        <v>1.01992014</v>
      </c>
      <c r="H351" s="7">
        <v>8.0363939536738318</v>
      </c>
      <c r="I351" s="8">
        <v>38918.243675999998</v>
      </c>
      <c r="J351" s="12">
        <v>5.3324629999999997</v>
      </c>
      <c r="K351" s="7">
        <v>67.780455748618834</v>
      </c>
      <c r="L351" s="5">
        <v>0.64162868261337302</v>
      </c>
      <c r="M351" s="5">
        <v>64.162868261337309</v>
      </c>
      <c r="Q351" s="25">
        <f t="shared" si="19"/>
        <v>0</v>
      </c>
      <c r="R351">
        <v>0</v>
      </c>
      <c r="S351" s="24">
        <v>0</v>
      </c>
      <c r="T351">
        <f>Q351/100</f>
        <v>0</v>
      </c>
      <c r="U351">
        <f>R351/100</f>
        <v>0</v>
      </c>
      <c r="V351">
        <f>S351/100</f>
        <v>0</v>
      </c>
      <c r="Y351">
        <v>0.36733333333333301</v>
      </c>
      <c r="Z351" s="5">
        <f t="shared" si="20"/>
        <v>36.733333333333299</v>
      </c>
    </row>
    <row r="352" spans="1:26" x14ac:dyDescent="0.25">
      <c r="A352" t="s">
        <v>21</v>
      </c>
      <c r="B352">
        <v>10</v>
      </c>
      <c r="C352">
        <v>1995</v>
      </c>
      <c r="D352" s="5">
        <v>22</v>
      </c>
      <c r="E352" s="5">
        <v>44.2</v>
      </c>
      <c r="F352" s="5">
        <f t="shared" si="17"/>
        <v>22.200000000000003</v>
      </c>
      <c r="G352" s="7">
        <v>1.02083605</v>
      </c>
      <c r="H352" s="7">
        <v>7.0382279385494826</v>
      </c>
      <c r="I352" s="8">
        <v>39912.528121000003</v>
      </c>
      <c r="J352" s="12">
        <v>3.027587</v>
      </c>
      <c r="K352" s="7">
        <v>68.514602773057959</v>
      </c>
      <c r="L352" s="5">
        <v>0.64162868261337302</v>
      </c>
      <c r="M352" s="5">
        <v>64.162868261337309</v>
      </c>
      <c r="Q352" s="25">
        <f t="shared" si="19"/>
        <v>0.16398000000000001</v>
      </c>
      <c r="R352">
        <v>0.12083000000000001</v>
      </c>
      <c r="S352" s="24">
        <v>4.3150000000000001E-2</v>
      </c>
      <c r="T352">
        <f>Q352/100</f>
        <v>1.6398000000000001E-3</v>
      </c>
      <c r="U352">
        <f>R352/100</f>
        <v>1.2083E-3</v>
      </c>
      <c r="V352">
        <f>S352/100</f>
        <v>4.3150000000000003E-4</v>
      </c>
      <c r="W352">
        <v>0.66807000000000005</v>
      </c>
      <c r="X352">
        <v>0.36799999999999999</v>
      </c>
      <c r="Y352">
        <v>0.36799999999999999</v>
      </c>
      <c r="Z352" s="5">
        <f t="shared" si="20"/>
        <v>36.799999999999997</v>
      </c>
    </row>
    <row r="353" spans="1:26" x14ac:dyDescent="0.25">
      <c r="A353" t="s">
        <v>21</v>
      </c>
      <c r="B353">
        <v>10</v>
      </c>
      <c r="C353">
        <v>1996</v>
      </c>
      <c r="D353" s="5">
        <v>21.9</v>
      </c>
      <c r="E353" s="5">
        <v>43.4</v>
      </c>
      <c r="F353" s="5">
        <f t="shared" si="17"/>
        <v>21.5</v>
      </c>
      <c r="G353" s="7">
        <v>1.021263</v>
      </c>
      <c r="H353" s="7">
        <v>6.9099929128277822</v>
      </c>
      <c r="I353" s="8">
        <v>40820.270504</v>
      </c>
      <c r="J353" s="12">
        <v>2.9001000000000001</v>
      </c>
      <c r="K353" s="7">
        <v>68.471266012060639</v>
      </c>
      <c r="L353" s="5">
        <v>0.64705199003219604</v>
      </c>
      <c r="M353" s="5">
        <v>64.705199003219604</v>
      </c>
      <c r="N353" s="16">
        <v>1.4683793999999999</v>
      </c>
      <c r="O353" s="20">
        <v>2.4900000000000002</v>
      </c>
      <c r="P353" s="16">
        <v>1.6958276999999999</v>
      </c>
      <c r="Q353" s="25">
        <f t="shared" si="19"/>
        <v>0</v>
      </c>
      <c r="R353">
        <v>0</v>
      </c>
      <c r="S353" s="24">
        <v>0</v>
      </c>
      <c r="T353">
        <f>Q353/100</f>
        <v>0</v>
      </c>
      <c r="U353">
        <f>R353/100</f>
        <v>0</v>
      </c>
      <c r="V353">
        <f>S353/100</f>
        <v>0</v>
      </c>
      <c r="Y353">
        <v>0.36580000000000001</v>
      </c>
      <c r="Z353" s="5">
        <f t="shared" si="20"/>
        <v>36.58</v>
      </c>
    </row>
    <row r="354" spans="1:26" x14ac:dyDescent="0.25">
      <c r="A354" t="s">
        <v>21</v>
      </c>
      <c r="B354">
        <v>10</v>
      </c>
      <c r="C354">
        <v>1997</v>
      </c>
      <c r="D354" s="5">
        <v>22.1</v>
      </c>
      <c r="E354" s="5">
        <v>43.2</v>
      </c>
      <c r="F354" s="5">
        <f t="shared" si="17"/>
        <v>21.1</v>
      </c>
      <c r="G354" s="7">
        <v>1.02182167</v>
      </c>
      <c r="H354" s="7">
        <v>6.0945709281961467</v>
      </c>
      <c r="I354" s="8">
        <v>41967.934474000002</v>
      </c>
      <c r="J354" s="12">
        <v>3.2608899999999998</v>
      </c>
      <c r="K354" s="7">
        <v>71.168462401963183</v>
      </c>
      <c r="L354" s="5">
        <v>0.64190500974655196</v>
      </c>
      <c r="M354" s="5">
        <v>64.190500974655194</v>
      </c>
      <c r="N354" s="16">
        <v>1.4513955999999999</v>
      </c>
      <c r="O354" s="20">
        <v>2.4369999999999998</v>
      </c>
      <c r="P354" s="16">
        <v>1.6790451</v>
      </c>
      <c r="Q354" s="25">
        <f t="shared" si="19"/>
        <v>0</v>
      </c>
      <c r="R354">
        <v>0</v>
      </c>
      <c r="S354" s="24">
        <v>0</v>
      </c>
      <c r="T354">
        <f>Q354/100</f>
        <v>0</v>
      </c>
      <c r="U354">
        <f>R354/100</f>
        <v>0</v>
      </c>
      <c r="V354">
        <f>S354/100</f>
        <v>0</v>
      </c>
      <c r="Y354">
        <v>0.36359999999999998</v>
      </c>
      <c r="Z354" s="5">
        <f t="shared" si="20"/>
        <v>36.36</v>
      </c>
    </row>
    <row r="355" spans="1:26" x14ac:dyDescent="0.25">
      <c r="A355" t="s">
        <v>21</v>
      </c>
      <c r="B355">
        <v>10</v>
      </c>
      <c r="C355">
        <v>1998</v>
      </c>
      <c r="D355" s="5">
        <v>22.3</v>
      </c>
      <c r="E355" s="5">
        <v>43.2</v>
      </c>
      <c r="F355" s="5">
        <f t="shared" si="17"/>
        <v>20.900000000000002</v>
      </c>
      <c r="G355" s="7">
        <v>1.01845651</v>
      </c>
      <c r="H355" s="7">
        <v>5.4424157303370784</v>
      </c>
      <c r="I355" s="8">
        <v>42753.238078000002</v>
      </c>
      <c r="J355" s="12">
        <v>2.218159</v>
      </c>
      <c r="K355" s="7">
        <v>71.299118721446149</v>
      </c>
      <c r="L355" s="5">
        <v>0.65660530328750599</v>
      </c>
      <c r="M355" s="5">
        <v>65.660530328750596</v>
      </c>
      <c r="N355" s="16">
        <v>1.4808589999999999</v>
      </c>
      <c r="O355" s="20">
        <v>2.4749998999999998</v>
      </c>
      <c r="P355" s="16">
        <v>1.6715005999999999</v>
      </c>
      <c r="Q355" s="25">
        <f t="shared" si="19"/>
        <v>0</v>
      </c>
      <c r="R355">
        <v>0</v>
      </c>
      <c r="S355" s="24">
        <v>0</v>
      </c>
      <c r="T355">
        <f>Q355/100</f>
        <v>0</v>
      </c>
      <c r="U355">
        <f>R355/100</f>
        <v>0</v>
      </c>
      <c r="V355">
        <f>S355/100</f>
        <v>0</v>
      </c>
      <c r="Y355">
        <v>0.3614</v>
      </c>
      <c r="Z355" s="5">
        <f t="shared" si="20"/>
        <v>36.14</v>
      </c>
    </row>
    <row r="356" spans="1:26" x14ac:dyDescent="0.25">
      <c r="A356" t="s">
        <v>21</v>
      </c>
      <c r="B356">
        <v>10</v>
      </c>
      <c r="C356">
        <v>1999</v>
      </c>
      <c r="D356" s="5">
        <v>22.5</v>
      </c>
      <c r="E356" s="5">
        <v>43.4</v>
      </c>
      <c r="F356" s="5">
        <f t="shared" si="17"/>
        <v>20.9</v>
      </c>
      <c r="G356" s="7">
        <v>1.02497795</v>
      </c>
      <c r="H356" s="7">
        <v>5.5866898643981848</v>
      </c>
      <c r="I356" s="8">
        <v>43864.722762999998</v>
      </c>
      <c r="J356" s="12">
        <v>2.9480219999999999</v>
      </c>
      <c r="K356" s="7">
        <v>72.697197947027135</v>
      </c>
      <c r="L356" s="5">
        <v>0.648662328720093</v>
      </c>
      <c r="M356" s="5">
        <v>64.866232872009306</v>
      </c>
      <c r="N356" s="16">
        <v>1.4608619</v>
      </c>
      <c r="O356" s="20">
        <v>2.4900000000000002</v>
      </c>
      <c r="P356" s="16">
        <v>1.7043949</v>
      </c>
      <c r="Q356" s="25">
        <f t="shared" si="19"/>
        <v>0</v>
      </c>
      <c r="R356">
        <v>0</v>
      </c>
      <c r="S356" s="24">
        <v>0</v>
      </c>
      <c r="T356">
        <f>Q356/100</f>
        <v>0</v>
      </c>
      <c r="U356">
        <f>R356/100</f>
        <v>0</v>
      </c>
      <c r="V356">
        <f>S356/100</f>
        <v>0</v>
      </c>
      <c r="Y356">
        <v>0.35920000000000002</v>
      </c>
      <c r="Z356" s="5">
        <f t="shared" si="20"/>
        <v>35.92</v>
      </c>
    </row>
    <row r="357" spans="1:26" x14ac:dyDescent="0.25">
      <c r="A357" t="s">
        <v>21</v>
      </c>
      <c r="B357">
        <v>10</v>
      </c>
      <c r="C357">
        <v>2000</v>
      </c>
      <c r="D357" s="5">
        <v>22.6</v>
      </c>
      <c r="E357" s="5">
        <v>43.7</v>
      </c>
      <c r="F357" s="5">
        <f t="shared" si="17"/>
        <v>21.1</v>
      </c>
      <c r="G357" s="7">
        <v>1.0290327699999999</v>
      </c>
      <c r="H357" s="7">
        <v>4.6259029474313236</v>
      </c>
      <c r="I357" s="8">
        <v>45363.342854000002</v>
      </c>
      <c r="J357" s="12">
        <v>3.7468629999999998</v>
      </c>
      <c r="K357" s="7">
        <v>82.983951053302491</v>
      </c>
      <c r="L357" s="5">
        <v>0.62219971418380704</v>
      </c>
      <c r="M357" s="5">
        <v>62.219971418380702</v>
      </c>
      <c r="N357" s="16">
        <v>1.4735472999999999</v>
      </c>
      <c r="O357" s="20">
        <v>2.5070000000000001</v>
      </c>
      <c r="P357" s="16">
        <v>1.7015891999999999</v>
      </c>
      <c r="Q357" s="25">
        <f t="shared" si="19"/>
        <v>0</v>
      </c>
      <c r="R357">
        <v>0</v>
      </c>
      <c r="S357" s="24">
        <v>0</v>
      </c>
      <c r="T357">
        <f>Q357/100</f>
        <v>0</v>
      </c>
      <c r="U357">
        <f>R357/100</f>
        <v>0</v>
      </c>
      <c r="V357">
        <f>S357/100</f>
        <v>0</v>
      </c>
      <c r="W357">
        <v>0.65652999999999995</v>
      </c>
      <c r="X357">
        <v>0.35699999999999998</v>
      </c>
      <c r="Y357">
        <v>0.35699999999999998</v>
      </c>
      <c r="Z357" s="5">
        <f t="shared" si="20"/>
        <v>35.699999999999996</v>
      </c>
    </row>
    <row r="358" spans="1:26" x14ac:dyDescent="0.25">
      <c r="A358" t="s">
        <v>21</v>
      </c>
      <c r="B358">
        <v>10</v>
      </c>
      <c r="C358">
        <v>2001</v>
      </c>
      <c r="D358" s="5">
        <v>22.8</v>
      </c>
      <c r="E358" s="5">
        <v>43.9</v>
      </c>
      <c r="F358" s="5">
        <f t="shared" si="17"/>
        <v>21.099999999999998</v>
      </c>
      <c r="G358" s="7">
        <v>1.02337875</v>
      </c>
      <c r="H358" s="7">
        <v>4.6070744032061333</v>
      </c>
      <c r="I358" s="8">
        <v>45574.535238999997</v>
      </c>
      <c r="J358" s="12">
        <v>0.82315300000000002</v>
      </c>
      <c r="K358" s="7">
        <v>83.968575874500701</v>
      </c>
      <c r="L358" s="5">
        <v>0.63645589351654097</v>
      </c>
      <c r="M358" s="5">
        <v>63.645589351654095</v>
      </c>
      <c r="N358" s="16">
        <v>1.5105308</v>
      </c>
      <c r="O358" s="20">
        <v>2.5859999999999999</v>
      </c>
      <c r="P358" s="16">
        <v>1.7116564000000001</v>
      </c>
      <c r="Q358" s="25">
        <f t="shared" si="19"/>
        <v>0</v>
      </c>
      <c r="R358">
        <v>0</v>
      </c>
      <c r="S358" s="24">
        <v>0</v>
      </c>
      <c r="T358">
        <f>Q358/100</f>
        <v>0</v>
      </c>
      <c r="U358">
        <f>R358/100</f>
        <v>0</v>
      </c>
      <c r="V358">
        <f>S358/100</f>
        <v>0</v>
      </c>
      <c r="Y358">
        <v>0.35749999999999998</v>
      </c>
      <c r="Z358" s="5">
        <f t="shared" si="20"/>
        <v>35.75</v>
      </c>
    </row>
    <row r="359" spans="1:26" x14ac:dyDescent="0.25">
      <c r="A359" t="s">
        <v>21</v>
      </c>
      <c r="B359">
        <v>10</v>
      </c>
      <c r="C359">
        <v>2002</v>
      </c>
      <c r="D359" s="5">
        <v>23</v>
      </c>
      <c r="E359" s="5">
        <v>44.1</v>
      </c>
      <c r="F359" s="5">
        <f t="shared" si="17"/>
        <v>21.1</v>
      </c>
      <c r="G359" s="7">
        <v>1.0242443699999999</v>
      </c>
      <c r="H359" s="7">
        <v>4.5867381346505862</v>
      </c>
      <c r="I359" s="8">
        <v>45625.248194</v>
      </c>
      <c r="J359" s="12">
        <v>0.46634599999999998</v>
      </c>
      <c r="K359" s="7">
        <v>84.55697480623347</v>
      </c>
      <c r="L359" s="5">
        <v>0.64094573259353604</v>
      </c>
      <c r="M359" s="5">
        <v>64.094573259353609</v>
      </c>
      <c r="N359" s="16">
        <v>1.4106141000000001</v>
      </c>
      <c r="O359" s="20">
        <v>2.3640602999999998</v>
      </c>
      <c r="P359" s="16">
        <v>1.6759086000000001</v>
      </c>
      <c r="Q359" s="25">
        <f t="shared" si="19"/>
        <v>0</v>
      </c>
      <c r="R359">
        <v>0</v>
      </c>
      <c r="S359" s="24">
        <v>0</v>
      </c>
      <c r="T359">
        <f>Q359/100</f>
        <v>0</v>
      </c>
      <c r="U359">
        <f>R359/100</f>
        <v>0</v>
      </c>
      <c r="V359">
        <f>S359/100</f>
        <v>0</v>
      </c>
      <c r="Y359">
        <v>0.35799999999999998</v>
      </c>
      <c r="Z359" s="5">
        <f t="shared" si="20"/>
        <v>35.799999999999997</v>
      </c>
    </row>
    <row r="360" spans="1:26" x14ac:dyDescent="0.25">
      <c r="A360" t="s">
        <v>21</v>
      </c>
      <c r="B360">
        <v>10</v>
      </c>
      <c r="C360">
        <v>2003</v>
      </c>
      <c r="D360" s="5">
        <v>23.1</v>
      </c>
      <c r="E360" s="5">
        <v>44.4</v>
      </c>
      <c r="F360" s="5">
        <f t="shared" si="17"/>
        <v>21.299999999999997</v>
      </c>
      <c r="G360" s="7">
        <v>1.02075078</v>
      </c>
      <c r="H360" s="7">
        <v>5.4067274013643463</v>
      </c>
      <c r="I360" s="8">
        <v>45684.243978999999</v>
      </c>
      <c r="J360" s="12">
        <v>0.39005899999999999</v>
      </c>
      <c r="K360" s="7">
        <v>80.881707399814047</v>
      </c>
      <c r="L360" s="5">
        <v>0.64233356714248702</v>
      </c>
      <c r="M360" s="5">
        <v>64.2333567142487</v>
      </c>
      <c r="N360" s="16">
        <v>1.4147936000000001</v>
      </c>
      <c r="O360" s="20">
        <v>2.3825121</v>
      </c>
      <c r="P360" s="16">
        <v>1.6839998</v>
      </c>
      <c r="Q360" s="25">
        <f t="shared" si="19"/>
        <v>0</v>
      </c>
      <c r="R360">
        <v>0</v>
      </c>
      <c r="S360" s="24">
        <v>0</v>
      </c>
      <c r="T360">
        <f>Q360/100</f>
        <v>0</v>
      </c>
      <c r="U360">
        <f>R360/100</f>
        <v>0</v>
      </c>
      <c r="V360">
        <f>S360/100</f>
        <v>0</v>
      </c>
      <c r="Y360">
        <v>0.35849999999999999</v>
      </c>
      <c r="Z360" s="5">
        <f t="shared" si="20"/>
        <v>35.85</v>
      </c>
    </row>
    <row r="361" spans="1:26" x14ac:dyDescent="0.25">
      <c r="A361" t="s">
        <v>21</v>
      </c>
      <c r="B361">
        <v>10</v>
      </c>
      <c r="C361">
        <v>2004</v>
      </c>
      <c r="D361" s="5">
        <v>23.1</v>
      </c>
      <c r="E361" s="5">
        <v>44.8</v>
      </c>
      <c r="F361" s="5">
        <f t="shared" ref="F361:F424" si="21">E361-D361</f>
        <v>21.699999999999996</v>
      </c>
      <c r="G361" s="7">
        <v>1.0115435699999999</v>
      </c>
      <c r="H361" s="7">
        <v>5.5075789600821308</v>
      </c>
      <c r="I361" s="8">
        <v>46790.347375999998</v>
      </c>
      <c r="J361" s="12">
        <v>2.6682190000000001</v>
      </c>
      <c r="K361" s="7">
        <v>82.207765271051329</v>
      </c>
      <c r="L361" s="5">
        <v>0.63236320018768299</v>
      </c>
      <c r="M361" s="5">
        <v>63.236320018768296</v>
      </c>
      <c r="N361" s="16">
        <v>1.4066753000000001</v>
      </c>
      <c r="O361" s="20">
        <v>2.379124</v>
      </c>
      <c r="P361" s="16">
        <v>1.6913100000000001</v>
      </c>
      <c r="Q361" s="25">
        <f t="shared" si="19"/>
        <v>0</v>
      </c>
      <c r="R361">
        <v>0</v>
      </c>
      <c r="S361" s="24">
        <v>0</v>
      </c>
      <c r="T361">
        <f>Q361/100</f>
        <v>0</v>
      </c>
      <c r="U361">
        <f>R361/100</f>
        <v>0</v>
      </c>
      <c r="V361">
        <f>S361/100</f>
        <v>0</v>
      </c>
      <c r="W361">
        <v>0.66490000000000005</v>
      </c>
      <c r="X361">
        <v>0.35899999999999999</v>
      </c>
      <c r="Y361">
        <v>0.35899999999999999</v>
      </c>
      <c r="Z361" s="5">
        <f t="shared" si="20"/>
        <v>35.9</v>
      </c>
    </row>
    <row r="362" spans="1:26" x14ac:dyDescent="0.25">
      <c r="A362" t="s">
        <v>21</v>
      </c>
      <c r="B362">
        <v>10</v>
      </c>
      <c r="C362">
        <v>2005</v>
      </c>
      <c r="D362" s="5">
        <v>23.7</v>
      </c>
      <c r="E362" s="5">
        <v>44.7</v>
      </c>
      <c r="F362" s="5">
        <f t="shared" si="21"/>
        <v>21.000000000000004</v>
      </c>
      <c r="G362" s="7">
        <v>1.01817815</v>
      </c>
      <c r="H362" s="7">
        <v>4.8295773795631174</v>
      </c>
      <c r="I362" s="8">
        <v>47742.289876000003</v>
      </c>
      <c r="J362" s="12">
        <v>2.3366410000000002</v>
      </c>
      <c r="K362" s="7">
        <v>89.399740856177644</v>
      </c>
      <c r="L362" s="5">
        <v>0.63459825515747104</v>
      </c>
      <c r="M362" s="5">
        <v>63.459825515747106</v>
      </c>
      <c r="N362" s="16">
        <v>1.4079291</v>
      </c>
      <c r="O362" s="20">
        <v>2.3946087999999999</v>
      </c>
      <c r="P362" s="16">
        <v>1.7008021</v>
      </c>
      <c r="Q362" s="25">
        <f t="shared" si="19"/>
        <v>0</v>
      </c>
      <c r="R362">
        <v>0</v>
      </c>
      <c r="S362" s="24">
        <v>0</v>
      </c>
      <c r="T362">
        <f>Q362/100</f>
        <v>0</v>
      </c>
      <c r="U362">
        <f>R362/100</f>
        <v>0</v>
      </c>
      <c r="V362">
        <f>S362/100</f>
        <v>0</v>
      </c>
      <c r="Y362">
        <v>0.35699999999999998</v>
      </c>
      <c r="Z362" s="5">
        <f t="shared" si="20"/>
        <v>35.699999999999996</v>
      </c>
    </row>
    <row r="363" spans="1:26" x14ac:dyDescent="0.25">
      <c r="A363" t="s">
        <v>21</v>
      </c>
      <c r="B363">
        <v>10</v>
      </c>
      <c r="C363">
        <v>2006</v>
      </c>
      <c r="D363" s="5">
        <v>24.3</v>
      </c>
      <c r="E363" s="5">
        <v>44.8</v>
      </c>
      <c r="F363" s="5">
        <f t="shared" si="21"/>
        <v>20.499999999999996</v>
      </c>
      <c r="G363" s="7">
        <v>1.01924221</v>
      </c>
      <c r="H363" s="7">
        <v>3.896715625401447</v>
      </c>
      <c r="I363" s="8">
        <v>49446.206674000001</v>
      </c>
      <c r="J363" s="12">
        <v>3.913008</v>
      </c>
      <c r="K363" s="7">
        <v>97.366736203134835</v>
      </c>
      <c r="L363" s="5">
        <v>0.63262909650802601</v>
      </c>
      <c r="M363" s="5">
        <v>63.262909650802598</v>
      </c>
      <c r="N363" s="16">
        <v>1.4252990000000001</v>
      </c>
      <c r="O363" s="20">
        <v>2.4336929999999999</v>
      </c>
      <c r="P363" s="16">
        <v>1.7074963999999999</v>
      </c>
      <c r="Q363" s="25">
        <f t="shared" si="19"/>
        <v>0</v>
      </c>
      <c r="R363">
        <v>0</v>
      </c>
      <c r="S363" s="24">
        <v>0</v>
      </c>
      <c r="T363">
        <f>Q363/100</f>
        <v>0</v>
      </c>
      <c r="U363">
        <f>R363/100</f>
        <v>0</v>
      </c>
      <c r="V363">
        <f>S363/100</f>
        <v>0</v>
      </c>
      <c r="Y363">
        <v>0.35499999999999998</v>
      </c>
      <c r="Z363" s="5">
        <f t="shared" si="20"/>
        <v>35.5</v>
      </c>
    </row>
    <row r="364" spans="1:26" x14ac:dyDescent="0.25">
      <c r="A364" t="s">
        <v>21</v>
      </c>
      <c r="B364">
        <v>10</v>
      </c>
      <c r="C364">
        <v>2007</v>
      </c>
      <c r="D364" s="5">
        <v>24.2</v>
      </c>
      <c r="E364" s="5">
        <v>44.4</v>
      </c>
      <c r="F364" s="5">
        <f t="shared" si="21"/>
        <v>20.2</v>
      </c>
      <c r="G364" s="7">
        <v>1.0169326599999999</v>
      </c>
      <c r="H364" s="7">
        <v>3.8008886753932991</v>
      </c>
      <c r="I364" s="8">
        <v>49685.607113999999</v>
      </c>
      <c r="J364" s="12">
        <v>0.90923900000000002</v>
      </c>
      <c r="K364" s="7">
        <v>100.06785117702617</v>
      </c>
      <c r="L364" s="5">
        <v>0.64929646253585804</v>
      </c>
      <c r="M364" s="5">
        <v>64.929646253585801</v>
      </c>
      <c r="N364" s="16">
        <v>1.4318131999999999</v>
      </c>
      <c r="O364" s="20">
        <v>2.4495988999999998</v>
      </c>
      <c r="P364" s="16">
        <v>1.7108369000000001</v>
      </c>
      <c r="Q364" s="25">
        <f t="shared" si="19"/>
        <v>0</v>
      </c>
      <c r="R364">
        <v>0</v>
      </c>
      <c r="S364" s="24">
        <v>0</v>
      </c>
      <c r="T364">
        <f>Q364/100</f>
        <v>0</v>
      </c>
      <c r="U364">
        <f>R364/100</f>
        <v>0</v>
      </c>
      <c r="V364">
        <f>S364/100</f>
        <v>0</v>
      </c>
      <c r="W364">
        <v>0.65500999999999998</v>
      </c>
      <c r="X364">
        <v>0.35299999999999998</v>
      </c>
      <c r="Y364">
        <v>0.35299999999999998</v>
      </c>
      <c r="Z364" s="5">
        <f t="shared" si="20"/>
        <v>35.299999999999997</v>
      </c>
    </row>
    <row r="365" spans="1:26" x14ac:dyDescent="0.25">
      <c r="A365" t="s">
        <v>21</v>
      </c>
      <c r="B365">
        <v>10</v>
      </c>
      <c r="C365">
        <v>2008</v>
      </c>
      <c r="D365" s="5">
        <v>24.6</v>
      </c>
      <c r="E365" s="5">
        <v>45.4</v>
      </c>
      <c r="F365" s="5">
        <f t="shared" si="21"/>
        <v>20.799999999999997</v>
      </c>
      <c r="G365" s="7">
        <v>1.0341626800000001</v>
      </c>
      <c r="H365" s="7">
        <v>3.6837453556320203</v>
      </c>
      <c r="I365" s="8">
        <v>49134.243283999996</v>
      </c>
      <c r="J365" s="12">
        <v>-0.51201700000000006</v>
      </c>
      <c r="K365" s="7">
        <v>104.82822990384754</v>
      </c>
      <c r="L365" s="5">
        <v>0.64935070276260398</v>
      </c>
      <c r="M365" s="5">
        <v>64.935070276260404</v>
      </c>
      <c r="N365" s="16">
        <v>1.4297998999999999</v>
      </c>
      <c r="O365" s="20">
        <v>2.4348093999999998</v>
      </c>
      <c r="P365" s="16">
        <v>1.7029021</v>
      </c>
      <c r="Q365" s="25">
        <f t="shared" si="19"/>
        <v>0</v>
      </c>
      <c r="R365">
        <v>0</v>
      </c>
      <c r="S365" s="24">
        <v>0</v>
      </c>
      <c r="T365">
        <f>Q365/100</f>
        <v>0</v>
      </c>
      <c r="U365">
        <f>R365/100</f>
        <v>0</v>
      </c>
      <c r="V365">
        <f>S365/100</f>
        <v>0</v>
      </c>
      <c r="Y365">
        <v>0.36</v>
      </c>
      <c r="Z365" s="5">
        <f t="shared" si="20"/>
        <v>36</v>
      </c>
    </row>
    <row r="366" spans="1:26" x14ac:dyDescent="0.25">
      <c r="A366" t="s">
        <v>21</v>
      </c>
      <c r="B366">
        <v>10</v>
      </c>
      <c r="C366">
        <v>2009</v>
      </c>
      <c r="D366" s="5">
        <v>24.9</v>
      </c>
      <c r="E366" s="5">
        <v>46.2</v>
      </c>
      <c r="F366" s="5">
        <f t="shared" si="21"/>
        <v>21.300000000000004</v>
      </c>
      <c r="G366" s="7">
        <v>1.0130471000000001</v>
      </c>
      <c r="H366" s="7">
        <v>6.4094179202092869</v>
      </c>
      <c r="I366" s="8">
        <v>46469.654333999999</v>
      </c>
      <c r="J366" s="12">
        <v>-4.9065479999999999</v>
      </c>
      <c r="K366" s="7">
        <v>89.755039290433174</v>
      </c>
      <c r="L366" s="5">
        <v>0.67179423570632901</v>
      </c>
      <c r="M366" s="5">
        <v>67.179423570632906</v>
      </c>
      <c r="N366" s="16">
        <v>1.4317800000000001</v>
      </c>
      <c r="O366" s="20">
        <v>2.4047855</v>
      </c>
      <c r="P366" s="16">
        <v>1.6795774999999999</v>
      </c>
      <c r="Q366" s="25">
        <f t="shared" si="19"/>
        <v>0</v>
      </c>
      <c r="R366">
        <v>0</v>
      </c>
      <c r="S366" s="24">
        <v>0</v>
      </c>
      <c r="T366">
        <f>Q366/100</f>
        <v>0</v>
      </c>
      <c r="U366">
        <f>R366/100</f>
        <v>0</v>
      </c>
      <c r="V366">
        <f>S366/100</f>
        <v>0</v>
      </c>
      <c r="Y366">
        <v>0.36699999999999999</v>
      </c>
      <c r="Z366" s="5">
        <f t="shared" si="20"/>
        <v>36.700000000000003</v>
      </c>
    </row>
    <row r="367" spans="1:26" x14ac:dyDescent="0.25">
      <c r="A367" t="s">
        <v>21</v>
      </c>
      <c r="B367">
        <v>10</v>
      </c>
      <c r="C367">
        <v>2010</v>
      </c>
      <c r="D367" s="5">
        <v>25.1</v>
      </c>
      <c r="E367" s="5">
        <v>46.9</v>
      </c>
      <c r="F367" s="5">
        <f t="shared" si="21"/>
        <v>21.799999999999997</v>
      </c>
      <c r="G367" s="7">
        <v>1.0231092399999999</v>
      </c>
      <c r="H367" s="7">
        <v>7.7473698805830464</v>
      </c>
      <c r="I367" s="8">
        <v>47134.277111000003</v>
      </c>
      <c r="J367" s="12">
        <v>1.8709910000000001</v>
      </c>
      <c r="K367" s="7">
        <v>94.099976888006893</v>
      </c>
      <c r="L367" s="5">
        <v>0.641318678855896</v>
      </c>
      <c r="M367" s="5">
        <v>64.1318678855896</v>
      </c>
      <c r="N367" s="16">
        <v>1.4400937</v>
      </c>
      <c r="O367" s="20">
        <v>2.5015936000000001</v>
      </c>
      <c r="P367" s="16">
        <v>1.7371048</v>
      </c>
      <c r="Q367" s="25">
        <f t="shared" si="19"/>
        <v>0</v>
      </c>
      <c r="R367">
        <v>0</v>
      </c>
      <c r="S367" s="24">
        <v>0</v>
      </c>
      <c r="T367">
        <f>Q367/100</f>
        <v>0</v>
      </c>
      <c r="U367">
        <f>R367/100</f>
        <v>0</v>
      </c>
      <c r="V367">
        <f>S367/100</f>
        <v>0</v>
      </c>
      <c r="W367">
        <v>0.67908999999999997</v>
      </c>
      <c r="X367">
        <v>0.374</v>
      </c>
      <c r="Y367">
        <v>0.374</v>
      </c>
      <c r="Z367" s="5">
        <f t="shared" si="20"/>
        <v>37.4</v>
      </c>
    </row>
    <row r="368" spans="1:26" x14ac:dyDescent="0.25">
      <c r="A368" t="s">
        <v>21</v>
      </c>
      <c r="B368">
        <v>10</v>
      </c>
      <c r="C368">
        <v>2011</v>
      </c>
      <c r="D368" s="5">
        <v>25.2</v>
      </c>
      <c r="E368" s="5">
        <v>47.3</v>
      </c>
      <c r="F368" s="5">
        <f t="shared" si="21"/>
        <v>22.099999999999998</v>
      </c>
      <c r="G368" s="7">
        <v>1.02758682</v>
      </c>
      <c r="H368" s="7">
        <v>7.7690020200619037</v>
      </c>
      <c r="I368" s="8">
        <v>47567.126015000002</v>
      </c>
      <c r="J368" s="12">
        <v>1.336778</v>
      </c>
      <c r="K368" s="7">
        <v>101.245795489044</v>
      </c>
      <c r="L368" s="5">
        <v>0.63718354701995905</v>
      </c>
      <c r="M368" s="5">
        <v>63.718354701995906</v>
      </c>
      <c r="N368" s="16">
        <v>1.4420624</v>
      </c>
      <c r="O368" s="20">
        <v>2.5116342999999999</v>
      </c>
      <c r="P368" s="16">
        <v>1.7416959999999999</v>
      </c>
      <c r="Q368" s="25">
        <f t="shared" si="19"/>
        <v>0.97158</v>
      </c>
      <c r="R368">
        <v>0.5827</v>
      </c>
      <c r="S368" s="24">
        <v>0.38888</v>
      </c>
      <c r="T368">
        <f>Q368/100</f>
        <v>9.7158000000000001E-3</v>
      </c>
      <c r="U368">
        <f>R368/100</f>
        <v>5.8269999999999997E-3</v>
      </c>
      <c r="V368">
        <f>S368/100</f>
        <v>3.8888E-3</v>
      </c>
      <c r="Y368">
        <v>0.38033333333333302</v>
      </c>
      <c r="Z368" s="5">
        <f t="shared" si="20"/>
        <v>38.033333333333303</v>
      </c>
    </row>
    <row r="369" spans="1:26" x14ac:dyDescent="0.25">
      <c r="A369" t="s">
        <v>21</v>
      </c>
      <c r="B369">
        <v>10</v>
      </c>
      <c r="C369">
        <v>2012</v>
      </c>
      <c r="D369" s="5">
        <v>25.3</v>
      </c>
      <c r="E369" s="5">
        <v>47.7</v>
      </c>
      <c r="F369" s="5">
        <f t="shared" si="21"/>
        <v>22.400000000000002</v>
      </c>
      <c r="G369" s="7">
        <v>1.0239791499999999</v>
      </c>
      <c r="H369" s="7">
        <v>7.7985009586892096</v>
      </c>
      <c r="I369" s="8">
        <v>47495.796925000002</v>
      </c>
      <c r="J369" s="12">
        <v>0.22650000000000001</v>
      </c>
      <c r="K369" s="7">
        <v>103.24097034029174</v>
      </c>
      <c r="L369" s="5">
        <v>0.62985938787460305</v>
      </c>
      <c r="M369" s="5">
        <v>62.985938787460306</v>
      </c>
      <c r="N369" s="16">
        <v>1.4430259999999999</v>
      </c>
      <c r="O369" s="20">
        <v>2.5239443000000001</v>
      </c>
      <c r="P369" s="16">
        <v>1.7490635999999999</v>
      </c>
      <c r="Q369" s="25">
        <f t="shared" si="19"/>
        <v>0.87528000000000006</v>
      </c>
      <c r="R369">
        <v>0.5827</v>
      </c>
      <c r="S369" s="24">
        <v>0.29258000000000001</v>
      </c>
      <c r="T369">
        <f>Q369/100</f>
        <v>8.7527999999999998E-3</v>
      </c>
      <c r="U369">
        <f>R369/100</f>
        <v>5.8269999999999997E-3</v>
      </c>
      <c r="V369">
        <f>S369/100</f>
        <v>2.9258000000000001E-3</v>
      </c>
      <c r="Y369">
        <v>0.38666666666666599</v>
      </c>
      <c r="Z369" s="5">
        <f t="shared" si="20"/>
        <v>38.6666666666666</v>
      </c>
    </row>
    <row r="370" spans="1:26" x14ac:dyDescent="0.25">
      <c r="A370" t="s">
        <v>21</v>
      </c>
      <c r="B370">
        <v>10</v>
      </c>
      <c r="C370">
        <v>2013</v>
      </c>
      <c r="D370" s="5">
        <v>25.2</v>
      </c>
      <c r="E370" s="5">
        <v>48</v>
      </c>
      <c r="F370" s="5">
        <f t="shared" si="21"/>
        <v>22.8</v>
      </c>
      <c r="G370" s="7">
        <v>1.0078907180000001</v>
      </c>
      <c r="H370" s="7">
        <v>7.3837587169983676</v>
      </c>
      <c r="I370" s="8">
        <v>47751.198680000001</v>
      </c>
      <c r="J370" s="12">
        <v>0.93334099999999998</v>
      </c>
      <c r="K370" s="7">
        <v>103.05014108386803</v>
      </c>
      <c r="L370" s="5">
        <v>0.62832105159759499</v>
      </c>
      <c r="M370" s="5">
        <v>62.8321051597595</v>
      </c>
      <c r="N370" s="16">
        <v>1.4521481000000001</v>
      </c>
      <c r="O370" s="20">
        <v>2.5637107000000001</v>
      </c>
      <c r="P370" s="16">
        <v>1.7654609000000001</v>
      </c>
      <c r="Q370" s="25">
        <f t="shared" si="19"/>
        <v>1.16767</v>
      </c>
      <c r="R370">
        <v>0.5827</v>
      </c>
      <c r="S370" s="24">
        <v>0.58496999999999999</v>
      </c>
      <c r="T370">
        <f>Q370/100</f>
        <v>1.16767E-2</v>
      </c>
      <c r="U370">
        <f>R370/100</f>
        <v>5.8269999999999997E-3</v>
      </c>
      <c r="V370">
        <f>S370/100</f>
        <v>5.8497000000000002E-3</v>
      </c>
      <c r="W370">
        <v>0.68696000000000002</v>
      </c>
      <c r="X370">
        <v>0.39300000000000002</v>
      </c>
      <c r="Y370">
        <v>0.39300000000000002</v>
      </c>
      <c r="Z370" s="5">
        <f t="shared" si="20"/>
        <v>39.300000000000004</v>
      </c>
    </row>
    <row r="371" spans="1:26" x14ac:dyDescent="0.25">
      <c r="A371" t="s">
        <v>21</v>
      </c>
      <c r="B371">
        <v>10</v>
      </c>
      <c r="C371">
        <v>2014</v>
      </c>
      <c r="D371" s="5">
        <v>25.7</v>
      </c>
      <c r="E371" s="5">
        <v>48.3</v>
      </c>
      <c r="F371" s="5">
        <f t="shared" si="21"/>
        <v>22.599999999999998</v>
      </c>
      <c r="G371" s="7">
        <v>1.005640205</v>
      </c>
      <c r="H371" s="7">
        <v>6.9257981394942565</v>
      </c>
      <c r="I371" s="8">
        <v>48266.506927000002</v>
      </c>
      <c r="J371" s="12">
        <v>1.619394</v>
      </c>
      <c r="K371" s="7">
        <v>102.26391634234162</v>
      </c>
      <c r="L371" s="5">
        <v>0.62064749002456698</v>
      </c>
      <c r="M371" s="5">
        <v>62.064749002456701</v>
      </c>
      <c r="N371" s="16">
        <v>1.4613448</v>
      </c>
      <c r="O371" s="20">
        <v>2.557569</v>
      </c>
      <c r="P371" s="16">
        <v>1.7501476</v>
      </c>
      <c r="Q371" s="25">
        <f t="shared" si="19"/>
        <v>0</v>
      </c>
      <c r="R371">
        <v>0</v>
      </c>
      <c r="S371" s="24">
        <v>0</v>
      </c>
      <c r="T371">
        <f>Q371/100</f>
        <v>0</v>
      </c>
      <c r="U371">
        <f>R371/100</f>
        <v>0</v>
      </c>
      <c r="V371">
        <f>S371/100</f>
        <v>0</v>
      </c>
      <c r="Y371">
        <v>0.393666666666666</v>
      </c>
      <c r="Z371" s="5">
        <f t="shared" si="20"/>
        <v>39.366666666666603</v>
      </c>
    </row>
    <row r="372" spans="1:26" x14ac:dyDescent="0.25">
      <c r="A372" t="s">
        <v>22</v>
      </c>
      <c r="B372">
        <v>11</v>
      </c>
      <c r="C372">
        <v>1978</v>
      </c>
      <c r="D372" s="5">
        <v>26.3</v>
      </c>
      <c r="E372" s="5">
        <v>41.5</v>
      </c>
      <c r="F372" s="5">
        <f t="shared" si="21"/>
        <v>15.2</v>
      </c>
      <c r="G372" s="7">
        <v>1.02718691</v>
      </c>
      <c r="H372" s="7">
        <v>3.720215794994755</v>
      </c>
      <c r="I372" s="8">
        <v>26132.980756000001</v>
      </c>
      <c r="J372" s="12">
        <v>3.0084930000000001</v>
      </c>
      <c r="K372" s="7">
        <v>37.180592820497317</v>
      </c>
      <c r="L372" s="5">
        <v>0.66812092065811202</v>
      </c>
      <c r="M372" s="5">
        <v>66.8120920658112</v>
      </c>
      <c r="Q372" s="25">
        <f t="shared" si="19"/>
        <v>0</v>
      </c>
      <c r="R372">
        <v>0</v>
      </c>
      <c r="S372" s="24">
        <v>0</v>
      </c>
      <c r="T372">
        <f>Q372/100</f>
        <v>0</v>
      </c>
      <c r="U372">
        <f>R372/100</f>
        <v>0</v>
      </c>
      <c r="V372">
        <f>S372/100</f>
        <v>0</v>
      </c>
      <c r="W372">
        <v>0.77173000000000003</v>
      </c>
      <c r="X372">
        <v>0.30499999999999999</v>
      </c>
      <c r="Y372">
        <v>0.30499999999999999</v>
      </c>
      <c r="Z372" s="5">
        <f t="shared" si="20"/>
        <v>30.5</v>
      </c>
    </row>
    <row r="373" spans="1:26" x14ac:dyDescent="0.25">
      <c r="A373" t="s">
        <v>22</v>
      </c>
      <c r="B373">
        <v>11</v>
      </c>
      <c r="C373">
        <v>1979</v>
      </c>
      <c r="D373" s="5">
        <v>26.1</v>
      </c>
      <c r="E373" s="5">
        <v>41.5</v>
      </c>
      <c r="F373" s="5">
        <f t="shared" si="21"/>
        <v>15.399999999999999</v>
      </c>
      <c r="G373" s="7">
        <v>1.0404362199999999</v>
      </c>
      <c r="H373" s="7">
        <v>3.2537235820673778</v>
      </c>
      <c r="I373" s="8">
        <v>27209.927871</v>
      </c>
      <c r="J373" s="12">
        <v>4.1503629999999996</v>
      </c>
      <c r="K373" s="7">
        <v>39.224573364244023</v>
      </c>
      <c r="L373" s="5">
        <v>0.66812092065811202</v>
      </c>
      <c r="M373" s="5">
        <v>66.8120920658112</v>
      </c>
      <c r="Q373" s="25">
        <f t="shared" si="19"/>
        <v>0</v>
      </c>
      <c r="R373">
        <v>0</v>
      </c>
      <c r="S373" s="24">
        <v>0</v>
      </c>
      <c r="T373">
        <f>Q373/100</f>
        <v>0</v>
      </c>
      <c r="U373">
        <f>R373/100</f>
        <v>0</v>
      </c>
      <c r="V373">
        <f>S373/100</f>
        <v>0</v>
      </c>
      <c r="Y373">
        <v>0.30499999999999999</v>
      </c>
      <c r="Z373" s="5">
        <f t="shared" si="20"/>
        <v>30.5</v>
      </c>
    </row>
    <row r="374" spans="1:26" x14ac:dyDescent="0.25">
      <c r="A374" t="s">
        <v>22</v>
      </c>
      <c r="B374">
        <v>11</v>
      </c>
      <c r="C374">
        <v>1980</v>
      </c>
      <c r="D374" s="5">
        <v>25.9</v>
      </c>
      <c r="E374" s="5">
        <v>41.5</v>
      </c>
      <c r="F374" s="5">
        <f t="shared" si="21"/>
        <v>15.600000000000001</v>
      </c>
      <c r="G374" s="7">
        <v>1.0544105500000001</v>
      </c>
      <c r="H374" s="7">
        <v>3.1800128810648345</v>
      </c>
      <c r="I374" s="8">
        <v>27523.143333</v>
      </c>
      <c r="J374" s="12">
        <v>1.4088290000000001</v>
      </c>
      <c r="K374" s="7">
        <v>41.854070791427993</v>
      </c>
      <c r="L374" s="5">
        <v>0.66812092065811202</v>
      </c>
      <c r="M374" s="5">
        <v>66.8120920658112</v>
      </c>
      <c r="Q374" s="25">
        <f t="shared" si="19"/>
        <v>0</v>
      </c>
      <c r="R374">
        <v>0</v>
      </c>
      <c r="S374" s="24">
        <v>0</v>
      </c>
      <c r="T374">
        <f>Q374/100</f>
        <v>0</v>
      </c>
      <c r="U374">
        <f>R374/100</f>
        <v>0</v>
      </c>
      <c r="V374">
        <f>S374/100</f>
        <v>0</v>
      </c>
    </row>
    <row r="375" spans="1:26" x14ac:dyDescent="0.25">
      <c r="A375" t="s">
        <v>22</v>
      </c>
      <c r="B375">
        <v>11</v>
      </c>
      <c r="C375">
        <v>1981</v>
      </c>
      <c r="D375" s="5">
        <v>25.5</v>
      </c>
      <c r="E375" s="5">
        <v>41.5</v>
      </c>
      <c r="F375" s="5">
        <f t="shared" si="21"/>
        <v>16</v>
      </c>
      <c r="G375" s="7">
        <v>1.0634424199999999</v>
      </c>
      <c r="H375" s="7">
        <v>4.4931811758055398</v>
      </c>
      <c r="I375" s="8">
        <v>27628.230659000001</v>
      </c>
      <c r="J375" s="12">
        <v>0.52924099999999996</v>
      </c>
      <c r="K375" s="7">
        <v>44.183122645955798</v>
      </c>
      <c r="L375" s="5">
        <v>0.66812092065811202</v>
      </c>
      <c r="M375" s="5">
        <v>66.8120920658112</v>
      </c>
      <c r="N375" s="16">
        <v>1.6393439999999999</v>
      </c>
      <c r="P375" s="16">
        <v>1.63</v>
      </c>
      <c r="Q375" s="25">
        <f t="shared" si="19"/>
        <v>0</v>
      </c>
      <c r="R375">
        <v>0</v>
      </c>
      <c r="S375" s="24">
        <v>0</v>
      </c>
      <c r="T375">
        <f>Q375/100</f>
        <v>0</v>
      </c>
      <c r="U375">
        <f>R375/100</f>
        <v>0</v>
      </c>
      <c r="V375">
        <f>S375/100</f>
        <v>0</v>
      </c>
      <c r="W375">
        <v>0.71089000000000002</v>
      </c>
    </row>
    <row r="376" spans="1:26" x14ac:dyDescent="0.25">
      <c r="A376" t="s">
        <v>22</v>
      </c>
      <c r="B376">
        <v>11</v>
      </c>
      <c r="C376">
        <v>1982</v>
      </c>
      <c r="D376" s="5">
        <v>25.7</v>
      </c>
      <c r="E376" s="5">
        <v>41.7</v>
      </c>
      <c r="F376" s="5">
        <f t="shared" si="21"/>
        <v>16.000000000000004</v>
      </c>
      <c r="G376" s="7">
        <v>1.0524104599999999</v>
      </c>
      <c r="H376" s="7">
        <v>6.4185167028503392</v>
      </c>
      <c r="I376" s="8">
        <v>27548.301106999999</v>
      </c>
      <c r="J376" s="12">
        <v>-0.394841</v>
      </c>
      <c r="K376" s="7">
        <v>44.387863781252115</v>
      </c>
      <c r="L376" s="5">
        <v>0.66812092065811202</v>
      </c>
      <c r="M376" s="5">
        <v>66.8120920658112</v>
      </c>
      <c r="Q376" s="25">
        <f t="shared" si="19"/>
        <v>1.33511</v>
      </c>
      <c r="R376">
        <v>0.70079000000000002</v>
      </c>
      <c r="S376" s="24">
        <v>0.63431999999999999</v>
      </c>
      <c r="T376">
        <f>Q376/100</f>
        <v>1.3351099999999999E-2</v>
      </c>
      <c r="U376">
        <f>R376/100</f>
        <v>7.0079000000000001E-3</v>
      </c>
      <c r="V376">
        <f>S376/100</f>
        <v>6.3432000000000002E-3</v>
      </c>
    </row>
    <row r="377" spans="1:26" x14ac:dyDescent="0.25">
      <c r="A377" t="s">
        <v>22</v>
      </c>
      <c r="B377">
        <v>11</v>
      </c>
      <c r="C377">
        <v>1983</v>
      </c>
      <c r="D377" s="5">
        <v>25.9</v>
      </c>
      <c r="E377" s="5">
        <v>41.8</v>
      </c>
      <c r="F377" s="5">
        <f t="shared" si="21"/>
        <v>15.899999999999999</v>
      </c>
      <c r="G377" s="7">
        <v>1.0329341299999999</v>
      </c>
      <c r="H377" s="7">
        <v>7.8945988463555326</v>
      </c>
      <c r="I377" s="8">
        <v>28057.765007999998</v>
      </c>
      <c r="J377" s="12">
        <v>1.5724100000000001</v>
      </c>
      <c r="K377" s="7">
        <v>43.57557265773351</v>
      </c>
      <c r="L377" s="5">
        <v>0.66812092065811202</v>
      </c>
      <c r="M377" s="5">
        <v>66.8120920658112</v>
      </c>
      <c r="N377" s="16">
        <v>1.65</v>
      </c>
      <c r="P377" s="16">
        <v>1.63</v>
      </c>
      <c r="Q377" s="25">
        <f t="shared" si="19"/>
        <v>0.99213000000000007</v>
      </c>
      <c r="R377">
        <v>0.64548000000000005</v>
      </c>
      <c r="S377" s="24">
        <v>0.34665000000000001</v>
      </c>
      <c r="T377">
        <f>Q377/100</f>
        <v>9.921300000000001E-3</v>
      </c>
      <c r="U377">
        <f>R377/100</f>
        <v>6.4548000000000001E-3</v>
      </c>
      <c r="V377">
        <f>S377/100</f>
        <v>3.4665E-3</v>
      </c>
      <c r="W377">
        <v>0.74578999999999995</v>
      </c>
      <c r="X377">
        <v>0.314</v>
      </c>
      <c r="Y377">
        <v>0.314</v>
      </c>
      <c r="Z377" s="5">
        <f>Y377*100</f>
        <v>31.4</v>
      </c>
    </row>
    <row r="378" spans="1:26" x14ac:dyDescent="0.25">
      <c r="A378" t="s">
        <v>22</v>
      </c>
      <c r="B378">
        <v>11</v>
      </c>
      <c r="C378">
        <v>1984</v>
      </c>
      <c r="D378" s="5">
        <v>25.5</v>
      </c>
      <c r="E378" s="5">
        <v>42.7</v>
      </c>
      <c r="F378" s="5">
        <f t="shared" si="21"/>
        <v>17.200000000000003</v>
      </c>
      <c r="G378" s="7">
        <v>1.0240579700000001</v>
      </c>
      <c r="H378" s="7">
        <v>8.0049826842886418</v>
      </c>
      <c r="I378" s="8">
        <v>28952.107008999999</v>
      </c>
      <c r="J378" s="12">
        <v>2.8229479999999998</v>
      </c>
      <c r="K378" s="7">
        <v>46.242655911796263</v>
      </c>
      <c r="L378" s="5">
        <v>0.66812092065811202</v>
      </c>
      <c r="M378" s="5">
        <v>66.8120920658112</v>
      </c>
      <c r="N378" s="16">
        <v>1.7023268</v>
      </c>
      <c r="P378" s="16">
        <v>1.694652</v>
      </c>
      <c r="Q378" s="25">
        <f t="shared" si="19"/>
        <v>0.31874999999999998</v>
      </c>
      <c r="R378">
        <v>0.67286999999999997</v>
      </c>
      <c r="S378" s="24">
        <v>-0.35411999999999999</v>
      </c>
      <c r="T378">
        <f>Q378/100</f>
        <v>3.1874999999999998E-3</v>
      </c>
      <c r="U378">
        <f>R378/100</f>
        <v>6.7286999999999998E-3</v>
      </c>
      <c r="V378">
        <f>S378/100</f>
        <v>-3.5412E-3</v>
      </c>
      <c r="W378">
        <v>0.72291000000000005</v>
      </c>
      <c r="X378">
        <v>0.373</v>
      </c>
      <c r="Y378">
        <v>0.373</v>
      </c>
      <c r="Z378" s="5">
        <f t="shared" ref="Z378:Z408" si="22">Y378*100</f>
        <v>37.299999999999997</v>
      </c>
    </row>
    <row r="379" spans="1:26" x14ac:dyDescent="0.25">
      <c r="A379" t="s">
        <v>22</v>
      </c>
      <c r="B379">
        <v>11</v>
      </c>
      <c r="C379">
        <v>1985</v>
      </c>
      <c r="D379" s="5">
        <v>25.2</v>
      </c>
      <c r="E379" s="5">
        <v>43.1</v>
      </c>
      <c r="F379" s="5">
        <f t="shared" si="21"/>
        <v>17.900000000000002</v>
      </c>
      <c r="G379" s="7">
        <v>1.02066233</v>
      </c>
      <c r="H379" s="7">
        <v>8.1029753112470981</v>
      </c>
      <c r="I379" s="8">
        <v>29693.990569000001</v>
      </c>
      <c r="J379" s="12">
        <v>2.3279350000000001</v>
      </c>
      <c r="K379" s="7">
        <v>47.915350170949424</v>
      </c>
      <c r="L379" s="5">
        <v>0.66812092065811202</v>
      </c>
      <c r="M379" s="5">
        <v>66.8120920658112</v>
      </c>
      <c r="N379" s="16">
        <v>1.6668936999999999</v>
      </c>
      <c r="P379" s="16">
        <v>1.7316891999999999</v>
      </c>
      <c r="Q379" s="25">
        <f t="shared" si="19"/>
        <v>0</v>
      </c>
      <c r="R379">
        <v>0</v>
      </c>
      <c r="S379" s="24">
        <v>0</v>
      </c>
      <c r="T379">
        <f>Q379/100</f>
        <v>0</v>
      </c>
      <c r="U379">
        <f>R379/100</f>
        <v>0</v>
      </c>
      <c r="V379">
        <f>S379/100</f>
        <v>0</v>
      </c>
      <c r="W379">
        <v>0.71818000000000004</v>
      </c>
      <c r="X379">
        <v>0.375</v>
      </c>
      <c r="Y379">
        <v>0.375</v>
      </c>
      <c r="Z379" s="5">
        <f t="shared" si="22"/>
        <v>37.5</v>
      </c>
    </row>
    <row r="380" spans="1:26" x14ac:dyDescent="0.25">
      <c r="A380" t="s">
        <v>22</v>
      </c>
      <c r="B380">
        <v>11</v>
      </c>
      <c r="C380">
        <v>1986</v>
      </c>
      <c r="D380" s="5">
        <v>25</v>
      </c>
      <c r="E380" s="5">
        <v>43.3</v>
      </c>
      <c r="F380" s="5">
        <f t="shared" si="21"/>
        <v>18.299999999999997</v>
      </c>
      <c r="G380" s="7">
        <v>0.99870586100000003</v>
      </c>
      <c r="H380" s="7">
        <v>7.7447163515016682</v>
      </c>
      <c r="I380" s="8">
        <v>30364.591894000001</v>
      </c>
      <c r="J380" s="12">
        <v>2.2873389999999998</v>
      </c>
      <c r="K380" s="7">
        <v>42.944631464264468</v>
      </c>
      <c r="L380" s="5">
        <v>0.66812092065811202</v>
      </c>
      <c r="M380" s="5">
        <v>66.8120920658112</v>
      </c>
      <c r="N380" s="16">
        <v>1.6683912000000001</v>
      </c>
      <c r="P380" s="16">
        <v>1.7469825999999999</v>
      </c>
      <c r="Q380" s="25">
        <f t="shared" si="19"/>
        <v>0</v>
      </c>
      <c r="R380">
        <v>0</v>
      </c>
      <c r="S380" s="24">
        <v>0</v>
      </c>
      <c r="T380">
        <f>Q380/100</f>
        <v>0</v>
      </c>
      <c r="U380">
        <f>R380/100</f>
        <v>0</v>
      </c>
      <c r="V380">
        <f>S380/100</f>
        <v>0</v>
      </c>
      <c r="W380">
        <v>0.71086000000000005</v>
      </c>
      <c r="X380">
        <v>0.36899999999999999</v>
      </c>
      <c r="Y380">
        <v>0.36899999999999999</v>
      </c>
      <c r="Z380" s="5">
        <f t="shared" si="22"/>
        <v>36.9</v>
      </c>
    </row>
    <row r="381" spans="1:26" x14ac:dyDescent="0.25">
      <c r="A381" t="s">
        <v>22</v>
      </c>
      <c r="B381">
        <v>11</v>
      </c>
      <c r="C381">
        <v>1987</v>
      </c>
      <c r="D381" s="5">
        <v>25.2</v>
      </c>
      <c r="E381" s="5">
        <v>43.5</v>
      </c>
      <c r="F381" s="5">
        <f t="shared" si="21"/>
        <v>18.3</v>
      </c>
      <c r="G381" s="7">
        <v>1.0024990739999999</v>
      </c>
      <c r="H381" s="7">
        <v>7.6766772282683569</v>
      </c>
      <c r="I381" s="8">
        <v>30779.256447</v>
      </c>
      <c r="J381" s="12">
        <v>1.4021520000000001</v>
      </c>
      <c r="K381" s="7">
        <v>41.689470059802439</v>
      </c>
      <c r="L381" s="5">
        <v>0.66812092065811202</v>
      </c>
      <c r="M381" s="5">
        <v>66.8120920658112</v>
      </c>
      <c r="N381" s="16">
        <v>1.6848685000000001</v>
      </c>
      <c r="P381" s="16">
        <v>1.7147433999999999</v>
      </c>
      <c r="Q381" s="25">
        <f t="shared" si="19"/>
        <v>0</v>
      </c>
      <c r="R381">
        <v>0</v>
      </c>
      <c r="S381" s="24">
        <v>0</v>
      </c>
      <c r="T381">
        <f>Q381/100</f>
        <v>0</v>
      </c>
      <c r="U381">
        <f>R381/100</f>
        <v>0</v>
      </c>
      <c r="V381">
        <f>S381/100</f>
        <v>0</v>
      </c>
      <c r="W381">
        <v>0.71036999999999995</v>
      </c>
      <c r="X381">
        <v>0.36299999999999999</v>
      </c>
      <c r="Y381">
        <v>0.36299999999999999</v>
      </c>
      <c r="Z381" s="5">
        <f t="shared" si="22"/>
        <v>36.299999999999997</v>
      </c>
    </row>
    <row r="382" spans="1:26" x14ac:dyDescent="0.25">
      <c r="A382" t="s">
        <v>22</v>
      </c>
      <c r="B382">
        <v>11</v>
      </c>
      <c r="C382">
        <v>1988</v>
      </c>
      <c r="D382" s="5">
        <v>25.5</v>
      </c>
      <c r="E382" s="5">
        <v>43.7</v>
      </c>
      <c r="F382" s="5">
        <f t="shared" si="21"/>
        <v>18.200000000000003</v>
      </c>
      <c r="G382" s="7">
        <v>1.0127412099999999</v>
      </c>
      <c r="H382" s="7">
        <v>7.6694045174537981</v>
      </c>
      <c r="I382" s="8">
        <v>31758.088975999999</v>
      </c>
      <c r="J382" s="12">
        <v>3.707236</v>
      </c>
      <c r="K382" s="7">
        <v>42.526523894839094</v>
      </c>
      <c r="L382" s="5">
        <v>0.66812092065811202</v>
      </c>
      <c r="M382" s="5">
        <v>66.8120920658112</v>
      </c>
      <c r="N382" s="16">
        <v>1.651351</v>
      </c>
      <c r="P382" s="16">
        <v>1.7682040000000001</v>
      </c>
      <c r="Q382" s="25">
        <f t="shared" si="19"/>
        <v>0</v>
      </c>
      <c r="R382">
        <v>0</v>
      </c>
      <c r="S382" s="24">
        <v>0</v>
      </c>
      <c r="T382">
        <f>Q382/100</f>
        <v>0</v>
      </c>
      <c r="U382">
        <f>R382/100</f>
        <v>0</v>
      </c>
      <c r="V382">
        <f>S382/100</f>
        <v>0</v>
      </c>
      <c r="W382">
        <v>0.70777999999999996</v>
      </c>
      <c r="X382">
        <v>0.36599999999999999</v>
      </c>
      <c r="Y382">
        <v>0.36599999999999999</v>
      </c>
      <c r="Z382" s="5">
        <f t="shared" si="22"/>
        <v>36.6</v>
      </c>
    </row>
    <row r="383" spans="1:26" x14ac:dyDescent="0.25">
      <c r="A383" t="s">
        <v>22</v>
      </c>
      <c r="B383">
        <v>11</v>
      </c>
      <c r="C383">
        <v>1989</v>
      </c>
      <c r="D383" s="5">
        <v>25.7</v>
      </c>
      <c r="E383" s="5">
        <v>43.9</v>
      </c>
      <c r="F383" s="5">
        <f t="shared" si="21"/>
        <v>18.2</v>
      </c>
      <c r="G383" s="7">
        <v>1.02780563</v>
      </c>
      <c r="H383" s="7">
        <v>6.8787132055090456</v>
      </c>
      <c r="I383" s="8">
        <v>32759.867785999999</v>
      </c>
      <c r="J383" s="12">
        <v>3.8965519999999998</v>
      </c>
      <c r="K383" s="7">
        <v>45.215918069224166</v>
      </c>
      <c r="L383" s="5">
        <v>0.66812092065811202</v>
      </c>
      <c r="M383" s="5">
        <v>66.8120920658112</v>
      </c>
      <c r="N383" s="16">
        <v>1.6198971</v>
      </c>
      <c r="P383" s="16">
        <v>1.6644593999999999</v>
      </c>
      <c r="Q383" s="25">
        <f t="shared" si="19"/>
        <v>0</v>
      </c>
      <c r="R383">
        <v>0</v>
      </c>
      <c r="S383" s="24">
        <v>0</v>
      </c>
      <c r="T383">
        <f>Q383/100</f>
        <v>0</v>
      </c>
      <c r="U383">
        <f>R383/100</f>
        <v>0</v>
      </c>
      <c r="V383">
        <f>S383/100</f>
        <v>0</v>
      </c>
      <c r="W383">
        <v>0.70359000000000005</v>
      </c>
      <c r="X383">
        <v>0.378</v>
      </c>
      <c r="Y383">
        <v>0.378</v>
      </c>
      <c r="Z383" s="5">
        <f t="shared" si="22"/>
        <v>37.799999999999997</v>
      </c>
    </row>
    <row r="384" spans="1:26" ht="14.25" customHeight="1" x14ac:dyDescent="0.25">
      <c r="A384" t="s">
        <v>22</v>
      </c>
      <c r="B384">
        <v>11</v>
      </c>
      <c r="C384">
        <v>1990</v>
      </c>
      <c r="D384" s="5">
        <v>25.9</v>
      </c>
      <c r="E384" s="5">
        <v>44</v>
      </c>
      <c r="F384" s="5">
        <f t="shared" si="21"/>
        <v>18.100000000000001</v>
      </c>
      <c r="G384" s="7">
        <v>1.0269647</v>
      </c>
      <c r="H384" s="7">
        <v>6.1202105878911963</v>
      </c>
      <c r="I384" s="8">
        <v>34182.918871000002</v>
      </c>
      <c r="J384" s="12">
        <v>5.2550059999999998</v>
      </c>
      <c r="K384" s="7">
        <v>45.863587577329277</v>
      </c>
      <c r="L384" s="5">
        <v>0.66812092065811202</v>
      </c>
      <c r="M384" s="5">
        <v>66.8120920658112</v>
      </c>
      <c r="N384" s="16">
        <v>1.6082027999999999</v>
      </c>
      <c r="P384" s="16">
        <v>1.7172559000000001</v>
      </c>
      <c r="Q384" s="25">
        <f t="shared" si="19"/>
        <v>0</v>
      </c>
      <c r="R384">
        <v>0</v>
      </c>
      <c r="S384" s="24">
        <v>0</v>
      </c>
      <c r="T384">
        <f>Q384/100</f>
        <v>0</v>
      </c>
      <c r="U384">
        <f>R384/100</f>
        <v>0</v>
      </c>
      <c r="V384">
        <f>S384/100</f>
        <v>0</v>
      </c>
      <c r="W384">
        <v>0.70394000000000001</v>
      </c>
      <c r="X384">
        <v>0.373</v>
      </c>
      <c r="Y384">
        <v>0.373</v>
      </c>
      <c r="Z384" s="5">
        <f t="shared" si="22"/>
        <v>37.299999999999997</v>
      </c>
    </row>
    <row r="385" spans="1:26" x14ac:dyDescent="0.25">
      <c r="A385" t="s">
        <v>22</v>
      </c>
      <c r="B385">
        <v>11</v>
      </c>
      <c r="C385">
        <v>1991</v>
      </c>
      <c r="D385" s="5">
        <v>26.3</v>
      </c>
      <c r="E385" s="5">
        <v>44.4</v>
      </c>
      <c r="F385" s="5">
        <f t="shared" si="21"/>
        <v>18.099999999999998</v>
      </c>
      <c r="G385" s="7">
        <v>1.0404703399999999</v>
      </c>
      <c r="H385" s="7">
        <v>5.5695227025797811</v>
      </c>
      <c r="I385" s="8">
        <v>35655.469359000002</v>
      </c>
      <c r="J385" s="12">
        <v>5.1082619999999999</v>
      </c>
      <c r="K385" s="7">
        <v>47.81737924076176</v>
      </c>
      <c r="L385" s="5">
        <v>0.66812092065811202</v>
      </c>
      <c r="M385" s="5">
        <v>66.8120920658112</v>
      </c>
      <c r="N385" s="16">
        <v>2.3333333000000001</v>
      </c>
      <c r="O385" s="20">
        <v>4.1702380999999997</v>
      </c>
      <c r="P385" s="16">
        <v>1.7872448999999999</v>
      </c>
      <c r="Q385" s="25">
        <f t="shared" si="19"/>
        <v>1.2197499999999999</v>
      </c>
      <c r="R385">
        <v>4.2120000000000005E-2</v>
      </c>
      <c r="S385" s="24">
        <v>1.17763</v>
      </c>
      <c r="T385">
        <f>Q385/100</f>
        <v>1.2197499999999998E-2</v>
      </c>
      <c r="U385">
        <f>R385/100</f>
        <v>4.2120000000000005E-4</v>
      </c>
      <c r="V385">
        <f>S385/100</f>
        <v>1.17763E-2</v>
      </c>
      <c r="W385">
        <v>0.70123999999999997</v>
      </c>
      <c r="X385">
        <v>0.39300000000000002</v>
      </c>
      <c r="Y385">
        <v>0.39300000000000002</v>
      </c>
      <c r="Z385" s="5">
        <f t="shared" si="22"/>
        <v>39.300000000000004</v>
      </c>
    </row>
    <row r="386" spans="1:26" x14ac:dyDescent="0.25">
      <c r="A386" t="s">
        <v>22</v>
      </c>
      <c r="B386">
        <v>11</v>
      </c>
      <c r="C386">
        <v>1992</v>
      </c>
      <c r="D386" s="5">
        <v>26.2</v>
      </c>
      <c r="E386" s="5">
        <v>44.7</v>
      </c>
      <c r="F386" s="5">
        <f t="shared" si="21"/>
        <v>18.500000000000004</v>
      </c>
      <c r="G386" s="7">
        <v>1.0505698000000001</v>
      </c>
      <c r="H386" s="7">
        <v>6.6212965307672826</v>
      </c>
      <c r="I386" s="8">
        <v>36103.240937000002</v>
      </c>
      <c r="J386" s="12">
        <v>1.9230769999999999</v>
      </c>
      <c r="K386" s="7">
        <v>44.890838160816891</v>
      </c>
      <c r="L386" s="5">
        <v>0.67629379034042403</v>
      </c>
      <c r="M386" s="5">
        <v>67.629379034042401</v>
      </c>
      <c r="N386" s="16">
        <v>1.9625804</v>
      </c>
      <c r="O386" s="20">
        <v>3.4246172000000001</v>
      </c>
      <c r="P386" s="16">
        <v>1.7449564</v>
      </c>
      <c r="Q386" s="25">
        <f t="shared" si="19"/>
        <v>0.58685999999999994</v>
      </c>
      <c r="R386">
        <v>0.17547000000000001</v>
      </c>
      <c r="S386" s="24">
        <v>0.41138999999999998</v>
      </c>
      <c r="T386">
        <f>Q386/100</f>
        <v>5.868599999999999E-3</v>
      </c>
      <c r="U386">
        <f>R386/100</f>
        <v>1.7547000000000001E-3</v>
      </c>
      <c r="V386">
        <f>S386/100</f>
        <v>4.1139000000000002E-3</v>
      </c>
      <c r="W386">
        <v>0.70342000000000005</v>
      </c>
      <c r="X386">
        <v>0.38600000000000001</v>
      </c>
      <c r="Y386">
        <v>0.38600000000000001</v>
      </c>
      <c r="Z386" s="5">
        <f t="shared" si="22"/>
        <v>38.6</v>
      </c>
    </row>
    <row r="387" spans="1:26" x14ac:dyDescent="0.25">
      <c r="A387" t="s">
        <v>22</v>
      </c>
      <c r="B387">
        <v>11</v>
      </c>
      <c r="C387">
        <v>1993</v>
      </c>
      <c r="D387" s="5">
        <v>26</v>
      </c>
      <c r="E387" s="5">
        <v>45.1</v>
      </c>
      <c r="F387" s="5">
        <f t="shared" si="21"/>
        <v>19.100000000000001</v>
      </c>
      <c r="G387" s="7">
        <v>1.0447457600000001</v>
      </c>
      <c r="H387" s="7">
        <v>7.8702884445230934</v>
      </c>
      <c r="I387" s="8">
        <v>35553.586375999999</v>
      </c>
      <c r="J387" s="12">
        <v>-0.97685</v>
      </c>
      <c r="K387" s="7">
        <v>40.57673526035331</v>
      </c>
      <c r="L387" s="5">
        <v>0.67794388532638605</v>
      </c>
      <c r="M387" s="5">
        <v>67.794388532638607</v>
      </c>
      <c r="N387" s="16">
        <v>1.7172107000000001</v>
      </c>
      <c r="O387" s="20">
        <v>3.0545252000000001</v>
      </c>
      <c r="P387" s="16">
        <v>1.7787713999999999</v>
      </c>
      <c r="Q387" s="25">
        <f t="shared" ref="Q387:Q450" si="23">R387+S387</f>
        <v>0.32366</v>
      </c>
      <c r="R387">
        <v>0.20473000000000002</v>
      </c>
      <c r="S387" s="24">
        <v>0.11892999999999998</v>
      </c>
      <c r="T387">
        <f>Q387/100</f>
        <v>3.2366000000000001E-3</v>
      </c>
      <c r="U387">
        <f>R387/100</f>
        <v>2.0473000000000002E-3</v>
      </c>
      <c r="V387">
        <f>S387/100</f>
        <v>1.1892999999999999E-3</v>
      </c>
      <c r="W387">
        <v>0.7036</v>
      </c>
      <c r="X387">
        <v>0.377</v>
      </c>
      <c r="Y387">
        <v>0.377</v>
      </c>
      <c r="Z387" s="5">
        <f t="shared" si="22"/>
        <v>37.700000000000003</v>
      </c>
    </row>
    <row r="388" spans="1:26" x14ac:dyDescent="0.25">
      <c r="A388" t="s">
        <v>22</v>
      </c>
      <c r="B388">
        <v>11</v>
      </c>
      <c r="C388">
        <v>1994</v>
      </c>
      <c r="D388" s="5">
        <v>25.9</v>
      </c>
      <c r="E388" s="5">
        <v>45.6</v>
      </c>
      <c r="F388" s="5">
        <f t="shared" si="21"/>
        <v>19.700000000000003</v>
      </c>
      <c r="G388" s="7">
        <v>1.02693056</v>
      </c>
      <c r="H388" s="7">
        <v>8.4023346500557086</v>
      </c>
      <c r="I388" s="8">
        <v>36313.817607999998</v>
      </c>
      <c r="J388" s="12">
        <v>2.3918919999999999</v>
      </c>
      <c r="K388" s="7">
        <v>42.057883086004757</v>
      </c>
      <c r="L388" s="5">
        <v>0.66182577610015902</v>
      </c>
      <c r="M388" s="5">
        <v>66.182577610015898</v>
      </c>
      <c r="N388" s="16">
        <v>1.632107</v>
      </c>
      <c r="O388" s="20">
        <v>2.7955852999999999</v>
      </c>
      <c r="P388" s="16">
        <v>1.7128688999999999</v>
      </c>
      <c r="Q388" s="25">
        <f t="shared" si="23"/>
        <v>0.98351000000000011</v>
      </c>
      <c r="R388">
        <v>0.84315000000000007</v>
      </c>
      <c r="S388" s="24">
        <v>0.14035999999999998</v>
      </c>
      <c r="T388">
        <f>Q388/100</f>
        <v>9.8351000000000011E-3</v>
      </c>
      <c r="U388">
        <f>R388/100</f>
        <v>8.4315000000000015E-3</v>
      </c>
      <c r="V388">
        <f>S388/100</f>
        <v>1.4035999999999999E-3</v>
      </c>
      <c r="W388">
        <v>0.71250000000000002</v>
      </c>
      <c r="X388">
        <v>0.38400000000000001</v>
      </c>
      <c r="Y388">
        <v>0.38400000000000001</v>
      </c>
      <c r="Z388" s="5">
        <f t="shared" si="22"/>
        <v>38.4</v>
      </c>
    </row>
    <row r="389" spans="1:26" x14ac:dyDescent="0.25">
      <c r="A389" t="s">
        <v>22</v>
      </c>
      <c r="B389">
        <v>11</v>
      </c>
      <c r="C389">
        <v>1995</v>
      </c>
      <c r="D389" s="5">
        <v>25.7</v>
      </c>
      <c r="E389" s="5">
        <v>46.1</v>
      </c>
      <c r="F389" s="5">
        <f t="shared" si="21"/>
        <v>20.400000000000002</v>
      </c>
      <c r="G389" s="7">
        <v>1.0170616100000001</v>
      </c>
      <c r="H389" s="7">
        <v>8.1261428281186507</v>
      </c>
      <c r="I389" s="8">
        <v>36801.539921000003</v>
      </c>
      <c r="J389" s="12">
        <v>1.544146</v>
      </c>
      <c r="K389" s="7">
        <v>43.581634214957162</v>
      </c>
      <c r="L389" s="5">
        <v>0.66114825010299705</v>
      </c>
      <c r="M389" s="5">
        <v>66.114825010299711</v>
      </c>
      <c r="N389" s="16">
        <v>1.6504589999999999</v>
      </c>
      <c r="O389" s="20">
        <v>2.8870819999999999</v>
      </c>
      <c r="P389" s="16">
        <v>1.74926</v>
      </c>
      <c r="Q389" s="25">
        <f t="shared" si="23"/>
        <v>1.17574</v>
      </c>
      <c r="R389">
        <v>0.26110999999999995</v>
      </c>
      <c r="S389" s="24">
        <v>0.91463000000000005</v>
      </c>
      <c r="T389">
        <f>Q389/100</f>
        <v>1.1757399999999999E-2</v>
      </c>
      <c r="U389">
        <f>R389/100</f>
        <v>2.6110999999999994E-3</v>
      </c>
      <c r="V389">
        <f>S389/100</f>
        <v>9.1463000000000013E-3</v>
      </c>
      <c r="W389">
        <v>0.71677999999999997</v>
      </c>
      <c r="X389">
        <v>0.39300000000000002</v>
      </c>
      <c r="Y389">
        <v>0.39300000000000002</v>
      </c>
      <c r="Z389" s="5">
        <f t="shared" si="22"/>
        <v>39.300000000000004</v>
      </c>
    </row>
    <row r="390" spans="1:26" x14ac:dyDescent="0.25">
      <c r="A390" t="s">
        <v>22</v>
      </c>
      <c r="B390">
        <v>11</v>
      </c>
      <c r="C390">
        <v>1996</v>
      </c>
      <c r="D390" s="5">
        <v>25.4</v>
      </c>
      <c r="E390" s="5">
        <v>46.4</v>
      </c>
      <c r="F390" s="5">
        <f t="shared" si="21"/>
        <v>21</v>
      </c>
      <c r="G390" s="7">
        <v>1.01449726</v>
      </c>
      <c r="H390" s="7">
        <v>8.8628318584070804</v>
      </c>
      <c r="I390" s="8">
        <v>37026.144905000001</v>
      </c>
      <c r="J390" s="12">
        <v>0.80582299999999996</v>
      </c>
      <c r="K390" s="7">
        <v>45.005620959935044</v>
      </c>
      <c r="L390" s="5">
        <v>0.65817373991012595</v>
      </c>
      <c r="M390" s="5">
        <v>65.817373991012602</v>
      </c>
      <c r="N390" s="16">
        <v>1.6296295999999999</v>
      </c>
      <c r="O390" s="20">
        <v>2.8888889</v>
      </c>
      <c r="P390" s="16">
        <v>1.7727272999999999</v>
      </c>
      <c r="Q390" s="25">
        <f t="shared" si="23"/>
        <v>0</v>
      </c>
      <c r="R390">
        <v>0</v>
      </c>
      <c r="S390" s="24">
        <v>0</v>
      </c>
      <c r="T390">
        <f>Q390/100</f>
        <v>0</v>
      </c>
      <c r="U390">
        <f>R390/100</f>
        <v>0</v>
      </c>
      <c r="V390">
        <f>S390/100</f>
        <v>0</v>
      </c>
      <c r="W390">
        <v>0.72543000000000002</v>
      </c>
      <c r="X390">
        <v>0.4</v>
      </c>
      <c r="Y390">
        <v>0.4</v>
      </c>
      <c r="Z390" s="5">
        <f t="shared" si="22"/>
        <v>40</v>
      </c>
    </row>
    <row r="391" spans="1:26" x14ac:dyDescent="0.25">
      <c r="A391" t="s">
        <v>22</v>
      </c>
      <c r="B391">
        <v>11</v>
      </c>
      <c r="C391">
        <v>1997</v>
      </c>
      <c r="D391" s="5">
        <v>25.4</v>
      </c>
      <c r="E391" s="5">
        <v>46.8</v>
      </c>
      <c r="F391" s="5">
        <f t="shared" si="21"/>
        <v>21.4</v>
      </c>
      <c r="G391" s="7">
        <v>1.01939369</v>
      </c>
      <c r="H391" s="7">
        <v>9.8162245000502466</v>
      </c>
      <c r="I391" s="8">
        <v>37669.367642999998</v>
      </c>
      <c r="J391" s="12">
        <v>1.7921609999999999</v>
      </c>
      <c r="K391" s="7">
        <v>49.642658644162864</v>
      </c>
      <c r="L391" s="5">
        <v>0.64655691385269198</v>
      </c>
      <c r="M391" s="5">
        <v>64.655691385269193</v>
      </c>
      <c r="N391" s="16">
        <v>1.6666666999999999</v>
      </c>
      <c r="O391" s="20">
        <v>2.9166666999999999</v>
      </c>
      <c r="P391" s="16">
        <v>1.75</v>
      </c>
      <c r="Q391" s="25">
        <f t="shared" si="23"/>
        <v>1.5247999999999999</v>
      </c>
      <c r="R391">
        <v>0.99351</v>
      </c>
      <c r="S391" s="24">
        <v>0.53129000000000004</v>
      </c>
      <c r="T391">
        <f>Q391/100</f>
        <v>1.5247999999999999E-2</v>
      </c>
      <c r="U391">
        <f>R391/100</f>
        <v>9.9351000000000005E-3</v>
      </c>
      <c r="V391">
        <f>S391/100</f>
        <v>5.3129000000000006E-3</v>
      </c>
      <c r="W391">
        <v>0.72838000000000003</v>
      </c>
      <c r="X391">
        <v>0.39800000000000002</v>
      </c>
      <c r="Y391">
        <v>0.39800000000000002</v>
      </c>
      <c r="Z391" s="5">
        <f t="shared" si="22"/>
        <v>39.800000000000004</v>
      </c>
    </row>
    <row r="392" spans="1:26" x14ac:dyDescent="0.25">
      <c r="A392" t="s">
        <v>22</v>
      </c>
      <c r="B392">
        <v>11</v>
      </c>
      <c r="C392">
        <v>1998</v>
      </c>
      <c r="D392" s="5">
        <v>25.5</v>
      </c>
      <c r="E392" s="5">
        <v>47.1</v>
      </c>
      <c r="F392" s="5">
        <f t="shared" si="21"/>
        <v>21.6</v>
      </c>
      <c r="G392" s="7">
        <v>1.0091118450000001</v>
      </c>
      <c r="H392" s="7">
        <v>9.2012807415343989</v>
      </c>
      <c r="I392" s="8">
        <v>38458.199987</v>
      </c>
      <c r="J392" s="12">
        <v>2.0139330000000002</v>
      </c>
      <c r="K392" s="7">
        <v>51.584972349361102</v>
      </c>
      <c r="L392" s="5">
        <v>0.63981693983078003</v>
      </c>
      <c r="M392" s="5">
        <v>63.981693983078003</v>
      </c>
      <c r="N392" s="16">
        <v>1.6851852</v>
      </c>
      <c r="O392" s="20">
        <v>2.9444444000000001</v>
      </c>
      <c r="P392" s="16">
        <v>1.7472527</v>
      </c>
      <c r="Q392" s="25">
        <f t="shared" si="23"/>
        <v>2.181000000000001E-2</v>
      </c>
      <c r="R392">
        <v>-7.9689999999999997E-2</v>
      </c>
      <c r="S392" s="24">
        <v>0.10150000000000001</v>
      </c>
      <c r="T392">
        <f>Q392/100</f>
        <v>2.181000000000001E-4</v>
      </c>
      <c r="U392">
        <f>R392/100</f>
        <v>-7.9690000000000002E-4</v>
      </c>
      <c r="V392">
        <f>S392/100</f>
        <v>1.0150000000000001E-3</v>
      </c>
      <c r="W392">
        <v>0.72499999999999998</v>
      </c>
      <c r="X392">
        <v>0.4</v>
      </c>
      <c r="Y392">
        <v>0.4</v>
      </c>
      <c r="Z392" s="5">
        <f t="shared" si="22"/>
        <v>40</v>
      </c>
    </row>
    <row r="393" spans="1:26" x14ac:dyDescent="0.25">
      <c r="A393" t="s">
        <v>22</v>
      </c>
      <c r="B393">
        <v>11</v>
      </c>
      <c r="C393">
        <v>1999</v>
      </c>
      <c r="D393" s="5">
        <v>25.9</v>
      </c>
      <c r="E393" s="5">
        <v>47.4</v>
      </c>
      <c r="F393" s="5">
        <f t="shared" si="21"/>
        <v>21.5</v>
      </c>
      <c r="G393" s="7">
        <v>1.0058543360000001</v>
      </c>
      <c r="H393" s="7">
        <v>8.4133805047918244</v>
      </c>
      <c r="I393" s="8">
        <v>39195.556558999997</v>
      </c>
      <c r="J393" s="12">
        <v>1.8872610000000001</v>
      </c>
      <c r="K393" s="7">
        <v>53.365849631945927</v>
      </c>
      <c r="L393" s="5">
        <v>0.64517545700073198</v>
      </c>
      <c r="M393" s="5">
        <v>64.5175457000732</v>
      </c>
      <c r="N393" s="16">
        <v>1.6698181999999999</v>
      </c>
      <c r="O393" s="20">
        <v>2.9766667</v>
      </c>
      <c r="P393" s="16">
        <v>1.7826291999999999</v>
      </c>
      <c r="Q393" s="25">
        <f t="shared" si="23"/>
        <v>0</v>
      </c>
      <c r="R393">
        <v>0</v>
      </c>
      <c r="S393" s="24">
        <v>0</v>
      </c>
      <c r="T393">
        <f>Q393/100</f>
        <v>0</v>
      </c>
      <c r="U393">
        <f>R393/100</f>
        <v>0</v>
      </c>
      <c r="V393">
        <f>S393/100</f>
        <v>0</v>
      </c>
      <c r="W393">
        <v>0.72560999999999998</v>
      </c>
      <c r="X393">
        <v>0.40600000000000003</v>
      </c>
      <c r="Y393">
        <v>0.40600000000000003</v>
      </c>
      <c r="Z393" s="5">
        <f t="shared" si="22"/>
        <v>40.6</v>
      </c>
    </row>
    <row r="394" spans="1:26" x14ac:dyDescent="0.25">
      <c r="A394" t="s">
        <v>22</v>
      </c>
      <c r="B394">
        <v>11</v>
      </c>
      <c r="C394">
        <v>2000</v>
      </c>
      <c r="D394" s="5">
        <v>26.2</v>
      </c>
      <c r="E394" s="5">
        <v>48.2</v>
      </c>
      <c r="F394" s="5">
        <f t="shared" si="21"/>
        <v>22.000000000000004</v>
      </c>
      <c r="G394" s="7">
        <v>1.0144026799999999</v>
      </c>
      <c r="H394" s="7">
        <v>7.7538607711651508</v>
      </c>
      <c r="I394" s="8">
        <v>40319.796468</v>
      </c>
      <c r="J394" s="12">
        <v>2.9125030000000001</v>
      </c>
      <c r="K394" s="7">
        <v>61.526061002612501</v>
      </c>
      <c r="L394" s="5">
        <v>0.65420615673065197</v>
      </c>
      <c r="M394" s="5">
        <v>65.4206156730652</v>
      </c>
      <c r="N394" s="16">
        <v>1.7048193</v>
      </c>
      <c r="O394" s="20">
        <v>3.0272589999999999</v>
      </c>
      <c r="P394" s="16">
        <v>1.7757067</v>
      </c>
      <c r="Q394" s="25">
        <f t="shared" si="23"/>
        <v>0.72306999999999999</v>
      </c>
      <c r="R394">
        <v>0.59172999999999998</v>
      </c>
      <c r="S394" s="24">
        <v>0.13134000000000001</v>
      </c>
      <c r="T394">
        <f>Q394/100</f>
        <v>7.2306999999999996E-3</v>
      </c>
      <c r="U394">
        <f>R394/100</f>
        <v>5.9172999999999995E-3</v>
      </c>
      <c r="V394">
        <f>S394/100</f>
        <v>1.3134000000000002E-3</v>
      </c>
      <c r="W394">
        <v>0.72601000000000004</v>
      </c>
      <c r="X394">
        <v>0.41099999999999998</v>
      </c>
      <c r="Y394">
        <v>0.41099999999999998</v>
      </c>
      <c r="Z394" s="5">
        <f t="shared" si="22"/>
        <v>41.099999999999994</v>
      </c>
    </row>
    <row r="395" spans="1:26" x14ac:dyDescent="0.25">
      <c r="A395" t="s">
        <v>22</v>
      </c>
      <c r="B395">
        <v>11</v>
      </c>
      <c r="C395">
        <v>2001</v>
      </c>
      <c r="D395" s="5">
        <v>26.8</v>
      </c>
      <c r="E395" s="5">
        <v>49.3</v>
      </c>
      <c r="F395" s="5">
        <f t="shared" si="21"/>
        <v>22.499999999999996</v>
      </c>
      <c r="G395" s="7">
        <v>1.0198385700000001</v>
      </c>
      <c r="H395" s="7">
        <v>7.8356546873543111</v>
      </c>
      <c r="I395" s="8">
        <v>40967.585030000002</v>
      </c>
      <c r="J395" s="12">
        <v>1.681468</v>
      </c>
      <c r="K395" s="7">
        <v>62.062838889042318</v>
      </c>
      <c r="L395" s="5">
        <v>0.64121270179748502</v>
      </c>
      <c r="M395" s="5">
        <v>64.121270179748507</v>
      </c>
      <c r="N395" s="16">
        <v>1.7351190000000001</v>
      </c>
      <c r="O395" s="20">
        <v>3.0178571000000001</v>
      </c>
      <c r="P395" s="16">
        <v>1.7392795999999999</v>
      </c>
      <c r="Q395" s="25">
        <f t="shared" si="23"/>
        <v>0</v>
      </c>
      <c r="R395">
        <v>0</v>
      </c>
      <c r="S395" s="24">
        <v>0</v>
      </c>
      <c r="T395">
        <f>Q395/100</f>
        <v>0</v>
      </c>
      <c r="U395">
        <f>R395/100</f>
        <v>0</v>
      </c>
      <c r="V395">
        <f>S395/100</f>
        <v>0</v>
      </c>
      <c r="W395">
        <v>0.73324999999999996</v>
      </c>
      <c r="X395">
        <v>0.42399999999999999</v>
      </c>
      <c r="Y395">
        <v>0.42399999999999999</v>
      </c>
      <c r="Z395" s="5">
        <f t="shared" si="22"/>
        <v>42.4</v>
      </c>
    </row>
    <row r="396" spans="1:26" x14ac:dyDescent="0.25">
      <c r="A396" t="s">
        <v>22</v>
      </c>
      <c r="B396">
        <v>11</v>
      </c>
      <c r="C396">
        <v>2002</v>
      </c>
      <c r="D396" s="5">
        <v>27</v>
      </c>
      <c r="E396" s="5">
        <v>50</v>
      </c>
      <c r="F396" s="5">
        <f t="shared" si="21"/>
        <v>23</v>
      </c>
      <c r="G396" s="7">
        <v>1.01420807</v>
      </c>
      <c r="H396" s="7">
        <v>8.6538308088276938</v>
      </c>
      <c r="I396" s="8">
        <v>40855.907039999998</v>
      </c>
      <c r="J396" s="12">
        <v>-0.19797400000000001</v>
      </c>
      <c r="K396" s="7">
        <v>60.93488981493276</v>
      </c>
      <c r="L396" s="5">
        <v>0.63599413633346602</v>
      </c>
      <c r="M396" s="5">
        <v>63.5994136333466</v>
      </c>
      <c r="N396" s="16">
        <v>1.7485767000000001</v>
      </c>
      <c r="O396" s="20">
        <v>3.0421531000000002</v>
      </c>
      <c r="P396" s="16">
        <v>1.7397882</v>
      </c>
      <c r="Q396" s="25">
        <f t="shared" si="23"/>
        <v>0</v>
      </c>
      <c r="R396">
        <v>0</v>
      </c>
      <c r="S396" s="24">
        <v>0</v>
      </c>
      <c r="T396">
        <f>Q396/100</f>
        <v>0</v>
      </c>
      <c r="U396">
        <f>R396/100</f>
        <v>0</v>
      </c>
      <c r="V396">
        <f>S396/100</f>
        <v>0</v>
      </c>
      <c r="W396">
        <v>0.73648999999999998</v>
      </c>
      <c r="X396">
        <v>0.42199999999999999</v>
      </c>
      <c r="Y396">
        <v>0.42199999999999999</v>
      </c>
      <c r="Z396" s="5">
        <f t="shared" si="22"/>
        <v>42.199999999999996</v>
      </c>
    </row>
    <row r="397" spans="1:26" x14ac:dyDescent="0.25">
      <c r="A397" t="s">
        <v>22</v>
      </c>
      <c r="B397">
        <v>11</v>
      </c>
      <c r="C397">
        <v>2003</v>
      </c>
      <c r="D397" s="5">
        <v>27</v>
      </c>
      <c r="E397" s="5">
        <v>50.4</v>
      </c>
      <c r="F397" s="5">
        <f t="shared" si="21"/>
        <v>23.4</v>
      </c>
      <c r="G397" s="7">
        <v>1.01034223</v>
      </c>
      <c r="H397" s="7">
        <v>9.6360268649288852</v>
      </c>
      <c r="I397" s="8">
        <v>40584.295248000002</v>
      </c>
      <c r="J397" s="12">
        <v>-0.70011699999999999</v>
      </c>
      <c r="K397" s="7">
        <v>61.849319714049301</v>
      </c>
      <c r="L397" s="5">
        <v>0.63388812541961703</v>
      </c>
      <c r="M397" s="5">
        <v>63.388812541961705</v>
      </c>
      <c r="N397" s="16">
        <v>1.7701111</v>
      </c>
      <c r="O397" s="20">
        <v>2.9983333000000001</v>
      </c>
      <c r="P397" s="16">
        <v>1.6938673</v>
      </c>
      <c r="Q397" s="25">
        <f t="shared" si="23"/>
        <v>1.1015699999999999</v>
      </c>
      <c r="R397">
        <v>0</v>
      </c>
      <c r="S397" s="24">
        <v>1.1015699999999999</v>
      </c>
      <c r="T397">
        <f>Q397/100</f>
        <v>1.10157E-2</v>
      </c>
      <c r="U397">
        <f>R397/100</f>
        <v>0</v>
      </c>
      <c r="V397">
        <f>S397/100</f>
        <v>1.10157E-2</v>
      </c>
      <c r="W397">
        <v>0.73929</v>
      </c>
      <c r="X397">
        <v>0.42499999999999999</v>
      </c>
      <c r="Y397">
        <v>0.42499999999999999</v>
      </c>
      <c r="Z397" s="5">
        <f t="shared" si="22"/>
        <v>42.5</v>
      </c>
    </row>
    <row r="398" spans="1:26" x14ac:dyDescent="0.25">
      <c r="A398" t="s">
        <v>22</v>
      </c>
      <c r="B398">
        <v>11</v>
      </c>
      <c r="C398">
        <v>2004</v>
      </c>
      <c r="D398" s="5">
        <v>27.3</v>
      </c>
      <c r="E398" s="5">
        <v>50.8</v>
      </c>
      <c r="F398" s="5">
        <f t="shared" si="21"/>
        <v>23.499999999999996</v>
      </c>
      <c r="G398" s="7">
        <v>1.01665736</v>
      </c>
      <c r="H398" s="7">
        <v>9.791917191530306</v>
      </c>
      <c r="I398" s="8">
        <v>41108.076902000001</v>
      </c>
      <c r="J398" s="12">
        <v>1.1750879999999999</v>
      </c>
      <c r="K398" s="7">
        <v>66.226199105422268</v>
      </c>
      <c r="L398" s="5">
        <v>0.61962860822677601</v>
      </c>
      <c r="M398" s="5">
        <v>61.962860822677598</v>
      </c>
      <c r="N398" s="16">
        <v>1.7777778</v>
      </c>
      <c r="O398" s="20">
        <v>3.1111111</v>
      </c>
      <c r="P398" s="16">
        <v>1.75</v>
      </c>
      <c r="Q398" s="25">
        <f t="shared" si="23"/>
        <v>0.37331999999999987</v>
      </c>
      <c r="R398">
        <v>1.0531999999999999</v>
      </c>
      <c r="S398" s="24">
        <v>-0.67988000000000004</v>
      </c>
      <c r="T398">
        <f>Q398/100</f>
        <v>3.7331999999999986E-3</v>
      </c>
      <c r="U398">
        <f>R398/100</f>
        <v>1.0532E-2</v>
      </c>
      <c r="V398">
        <f>S398/100</f>
        <v>-6.7988000000000007E-3</v>
      </c>
      <c r="W398">
        <v>0.73594000000000004</v>
      </c>
      <c r="X398">
        <v>0.433</v>
      </c>
      <c r="Y398">
        <v>0.433</v>
      </c>
      <c r="Z398" s="5">
        <f t="shared" si="22"/>
        <v>43.3</v>
      </c>
    </row>
    <row r="399" spans="1:26" x14ac:dyDescent="0.25">
      <c r="A399" t="s">
        <v>22</v>
      </c>
      <c r="B399">
        <v>11</v>
      </c>
      <c r="C399">
        <v>2005</v>
      </c>
      <c r="D399" s="5">
        <v>28.2</v>
      </c>
      <c r="E399" s="5">
        <v>51.5</v>
      </c>
      <c r="F399" s="5">
        <f t="shared" si="21"/>
        <v>23.3</v>
      </c>
      <c r="G399" s="7">
        <v>1.01546911</v>
      </c>
      <c r="H399" s="7">
        <v>11.166887968933805</v>
      </c>
      <c r="I399" s="8">
        <v>41469.450839999998</v>
      </c>
      <c r="J399" s="12">
        <v>0.731707</v>
      </c>
      <c r="K399" s="7">
        <v>70.918712936621347</v>
      </c>
      <c r="L399" s="5">
        <v>0.61289066076278698</v>
      </c>
      <c r="M399" s="5">
        <v>61.289066076278701</v>
      </c>
      <c r="N399" s="16">
        <v>1.8290598</v>
      </c>
      <c r="O399" s="20">
        <v>3.1452990999999999</v>
      </c>
      <c r="P399" s="16">
        <v>1.7196262</v>
      </c>
      <c r="Q399" s="25">
        <f t="shared" si="23"/>
        <v>0</v>
      </c>
      <c r="R399">
        <v>0</v>
      </c>
      <c r="S399" s="24">
        <v>0</v>
      </c>
      <c r="T399">
        <f>Q399/100</f>
        <v>0</v>
      </c>
      <c r="U399">
        <f>R399/100</f>
        <v>0</v>
      </c>
      <c r="V399">
        <f>S399/100</f>
        <v>0</v>
      </c>
      <c r="W399">
        <v>0.74155000000000004</v>
      </c>
      <c r="X399">
        <v>0.433</v>
      </c>
      <c r="Y399">
        <v>0.433</v>
      </c>
      <c r="Z399" s="5">
        <f t="shared" si="22"/>
        <v>43.3</v>
      </c>
    </row>
    <row r="400" spans="1:26" x14ac:dyDescent="0.25">
      <c r="A400" t="s">
        <v>22</v>
      </c>
      <c r="B400">
        <v>11</v>
      </c>
      <c r="C400">
        <v>2006</v>
      </c>
      <c r="D400" s="5">
        <v>28.4</v>
      </c>
      <c r="E400" s="5">
        <v>51.7</v>
      </c>
      <c r="F400" s="5">
        <f t="shared" si="21"/>
        <v>23.300000000000004</v>
      </c>
      <c r="G400" s="7">
        <v>1.01577429</v>
      </c>
      <c r="H400" s="7">
        <v>10.250256534073761</v>
      </c>
      <c r="I400" s="8">
        <v>43139.089799000001</v>
      </c>
      <c r="J400" s="12">
        <v>3.8164419999999999</v>
      </c>
      <c r="K400" s="7">
        <v>77.449729149546343</v>
      </c>
      <c r="L400" s="5">
        <v>0.59849315881729104</v>
      </c>
      <c r="M400" s="5">
        <v>59.849315881729105</v>
      </c>
      <c r="N400" s="16">
        <v>1.8828402</v>
      </c>
      <c r="O400" s="20">
        <v>3.3492308</v>
      </c>
      <c r="P400" s="16">
        <v>1.7788184</v>
      </c>
      <c r="Q400" s="25">
        <f t="shared" si="23"/>
        <v>0.30392000000000002</v>
      </c>
      <c r="R400">
        <v>0.30392000000000002</v>
      </c>
      <c r="S400" s="24">
        <v>0</v>
      </c>
      <c r="T400">
        <f>Q400/100</f>
        <v>3.0392000000000001E-3</v>
      </c>
      <c r="U400">
        <f>R400/100</f>
        <v>3.0392000000000001E-3</v>
      </c>
      <c r="V400">
        <f>S400/100</f>
        <v>0</v>
      </c>
      <c r="W400">
        <v>0.73777999999999999</v>
      </c>
      <c r="X400">
        <v>0.43099999999999999</v>
      </c>
      <c r="Y400">
        <v>0.43099999999999999</v>
      </c>
      <c r="Z400" s="5">
        <f t="shared" si="22"/>
        <v>43.1</v>
      </c>
    </row>
    <row r="401" spans="1:26" x14ac:dyDescent="0.25">
      <c r="A401" t="s">
        <v>22</v>
      </c>
      <c r="B401">
        <v>11</v>
      </c>
      <c r="C401">
        <v>2007</v>
      </c>
      <c r="D401" s="5">
        <v>28.6</v>
      </c>
      <c r="E401" s="5">
        <v>51.7</v>
      </c>
      <c r="F401" s="5">
        <f t="shared" si="21"/>
        <v>23.1</v>
      </c>
      <c r="G401" s="7">
        <v>1.0229834099999999</v>
      </c>
      <c r="H401" s="7">
        <v>8.6584169485901423</v>
      </c>
      <c r="I401" s="8">
        <v>44522.381700999998</v>
      </c>
      <c r="J401" s="12">
        <v>2.9764550000000001</v>
      </c>
      <c r="K401" s="7">
        <v>79.874417395131132</v>
      </c>
      <c r="L401" s="5">
        <v>0.59017890691757202</v>
      </c>
      <c r="M401" s="5">
        <v>59.017890691757202</v>
      </c>
      <c r="N401" s="16">
        <v>1.8300282999999999</v>
      </c>
      <c r="O401" s="20">
        <v>3.2487252</v>
      </c>
      <c r="P401" s="16">
        <v>1.7752322</v>
      </c>
      <c r="Q401" s="25">
        <f t="shared" si="23"/>
        <v>0.90947000000000011</v>
      </c>
      <c r="R401">
        <v>0.50526000000000004</v>
      </c>
      <c r="S401" s="24">
        <v>0.40421000000000007</v>
      </c>
      <c r="T401">
        <f>Q401/100</f>
        <v>9.0947000000000007E-3</v>
      </c>
      <c r="U401">
        <f>R401/100</f>
        <v>5.0526000000000008E-3</v>
      </c>
      <c r="V401">
        <f>S401/100</f>
        <v>4.0421000000000007E-3</v>
      </c>
      <c r="W401">
        <v>0.72933999999999999</v>
      </c>
      <c r="X401">
        <v>0.42799999999999999</v>
      </c>
      <c r="Y401">
        <v>0.42799999999999999</v>
      </c>
      <c r="Z401" s="5">
        <f t="shared" si="22"/>
        <v>42.8</v>
      </c>
    </row>
    <row r="402" spans="1:26" x14ac:dyDescent="0.25">
      <c r="A402" t="s">
        <v>22</v>
      </c>
      <c r="B402">
        <v>11</v>
      </c>
      <c r="C402">
        <v>2008</v>
      </c>
      <c r="D402" s="5">
        <v>28.6</v>
      </c>
      <c r="E402" s="5">
        <v>51.7</v>
      </c>
      <c r="F402" s="5">
        <f t="shared" si="21"/>
        <v>23.1</v>
      </c>
      <c r="G402" s="7">
        <v>1.0262838299999999</v>
      </c>
      <c r="H402" s="7">
        <v>7.5245555809360019</v>
      </c>
      <c r="I402" s="8">
        <v>45076.637673999998</v>
      </c>
      <c r="J402" s="12">
        <v>0.95987900000000004</v>
      </c>
      <c r="K402" s="7">
        <v>81.524804731218268</v>
      </c>
      <c r="L402" s="5">
        <v>0.60460364818572998</v>
      </c>
      <c r="M402" s="5">
        <v>60.460364818572998</v>
      </c>
      <c r="N402" s="16">
        <v>1.7955555999999999</v>
      </c>
      <c r="O402" s="20">
        <v>3.2056667000000001</v>
      </c>
      <c r="P402" s="16">
        <v>1.7853342000000001</v>
      </c>
      <c r="Q402" s="25">
        <f t="shared" si="23"/>
        <v>0</v>
      </c>
      <c r="R402">
        <v>0</v>
      </c>
      <c r="S402" s="24">
        <v>0</v>
      </c>
      <c r="T402">
        <f>Q402/100</f>
        <v>0</v>
      </c>
      <c r="U402">
        <f>R402/100</f>
        <v>0</v>
      </c>
      <c r="V402">
        <f>S402/100</f>
        <v>0</v>
      </c>
      <c r="W402">
        <v>0.72377999999999998</v>
      </c>
      <c r="X402">
        <v>0.42699999999999999</v>
      </c>
      <c r="Y402">
        <v>0.42699999999999999</v>
      </c>
      <c r="Z402" s="5">
        <f t="shared" si="22"/>
        <v>42.699999999999996</v>
      </c>
    </row>
    <row r="403" spans="1:26" x14ac:dyDescent="0.25">
      <c r="A403" t="s">
        <v>22</v>
      </c>
      <c r="B403">
        <v>11</v>
      </c>
      <c r="C403">
        <v>2009</v>
      </c>
      <c r="D403" s="5">
        <v>28.6</v>
      </c>
      <c r="E403" s="5">
        <v>51.7</v>
      </c>
      <c r="F403" s="5">
        <f t="shared" si="21"/>
        <v>23.1</v>
      </c>
      <c r="G403" s="7">
        <v>1.003127377</v>
      </c>
      <c r="H403" s="7">
        <v>7.7416403569882632</v>
      </c>
      <c r="I403" s="8">
        <v>42658.468152000001</v>
      </c>
      <c r="J403" s="12">
        <v>-5.6938360000000001</v>
      </c>
      <c r="K403" s="7">
        <v>71.228712899625052</v>
      </c>
      <c r="L403" s="5">
        <v>0.62646174430847201</v>
      </c>
      <c r="M403" s="5">
        <v>62.646174430847203</v>
      </c>
      <c r="N403" s="16">
        <v>1.8555556</v>
      </c>
      <c r="O403" s="20">
        <v>3.3181666999999999</v>
      </c>
      <c r="P403" s="16">
        <v>1.7882335</v>
      </c>
      <c r="Q403" s="25">
        <f t="shared" si="23"/>
        <v>0</v>
      </c>
      <c r="R403">
        <v>0</v>
      </c>
      <c r="S403" s="24">
        <v>0</v>
      </c>
      <c r="T403">
        <f>Q403/100</f>
        <v>0</v>
      </c>
      <c r="U403">
        <f>R403/100</f>
        <v>0</v>
      </c>
      <c r="V403">
        <f>S403/100</f>
        <v>0</v>
      </c>
      <c r="W403">
        <v>0.72443000000000002</v>
      </c>
      <c r="X403">
        <v>0.432</v>
      </c>
      <c r="Y403">
        <v>0.432</v>
      </c>
      <c r="Z403" s="5">
        <f t="shared" si="22"/>
        <v>43.2</v>
      </c>
    </row>
    <row r="404" spans="1:26" x14ac:dyDescent="0.25">
      <c r="A404" t="s">
        <v>22</v>
      </c>
      <c r="B404">
        <v>11</v>
      </c>
      <c r="C404">
        <v>2010</v>
      </c>
      <c r="D404" s="5">
        <v>28.7</v>
      </c>
      <c r="E404" s="5">
        <v>51.8</v>
      </c>
      <c r="F404" s="5">
        <f t="shared" si="21"/>
        <v>23.099999999999998</v>
      </c>
      <c r="G404" s="7">
        <v>1.01103809</v>
      </c>
      <c r="H404" s="7">
        <v>6.9666208996055801</v>
      </c>
      <c r="I404" s="8">
        <v>44551.699273999999</v>
      </c>
      <c r="J404" s="12">
        <v>4.1798820000000001</v>
      </c>
      <c r="K404" s="7">
        <v>79.8686242395882</v>
      </c>
      <c r="L404" s="5">
        <v>0.61599814891815197</v>
      </c>
      <c r="M404" s="5">
        <v>61.5998148918152</v>
      </c>
      <c r="N404" s="16">
        <v>1.8666666999999999</v>
      </c>
      <c r="O404" s="20">
        <v>3.3333333000000001</v>
      </c>
      <c r="P404" s="16">
        <v>1.7857143</v>
      </c>
      <c r="Q404" s="25">
        <f t="shared" si="23"/>
        <v>0</v>
      </c>
      <c r="R404">
        <v>0</v>
      </c>
      <c r="S404" s="24">
        <v>0</v>
      </c>
      <c r="T404">
        <f>Q404/100</f>
        <v>0</v>
      </c>
      <c r="U404">
        <f>R404/100</f>
        <v>0</v>
      </c>
      <c r="V404">
        <f>S404/100</f>
        <v>0</v>
      </c>
      <c r="W404">
        <v>0.72760000000000002</v>
      </c>
      <c r="X404">
        <v>0.435</v>
      </c>
      <c r="Y404">
        <v>0.435</v>
      </c>
      <c r="Z404" s="5">
        <f t="shared" si="22"/>
        <v>43.5</v>
      </c>
    </row>
    <row r="405" spans="1:26" x14ac:dyDescent="0.25">
      <c r="A405" t="s">
        <v>22</v>
      </c>
      <c r="B405">
        <v>11</v>
      </c>
      <c r="C405">
        <v>2011</v>
      </c>
      <c r="D405" s="5">
        <v>28.8</v>
      </c>
      <c r="E405" s="5">
        <v>51.9</v>
      </c>
      <c r="F405" s="5">
        <f t="shared" si="21"/>
        <v>23.099999999999998</v>
      </c>
      <c r="G405" s="7">
        <v>1.02075173</v>
      </c>
      <c r="H405" s="7">
        <v>5.8246215519617142</v>
      </c>
      <c r="I405" s="8">
        <v>46305.630279999998</v>
      </c>
      <c r="J405" s="12">
        <v>3.9251930000000002</v>
      </c>
      <c r="K405" s="7">
        <v>85.206121267022084</v>
      </c>
      <c r="L405" s="5">
        <v>0.61605089902877797</v>
      </c>
      <c r="M405" s="5">
        <v>61.605089902877793</v>
      </c>
      <c r="N405" s="16">
        <v>1.8722221999999999</v>
      </c>
      <c r="O405" s="20">
        <v>3.4833333</v>
      </c>
      <c r="P405" s="16">
        <v>1.8605341</v>
      </c>
      <c r="Q405" s="25">
        <f t="shared" si="23"/>
        <v>0.43684000000000001</v>
      </c>
      <c r="R405">
        <v>0.1069</v>
      </c>
      <c r="S405" s="24">
        <v>0.32994000000000001</v>
      </c>
      <c r="T405">
        <f>Q405/100</f>
        <v>4.3683999999999997E-3</v>
      </c>
      <c r="U405">
        <f>R405/100</f>
        <v>1.0689999999999999E-3</v>
      </c>
      <c r="V405">
        <f>S405/100</f>
        <v>3.2994000000000001E-3</v>
      </c>
      <c r="W405">
        <v>0.72443000000000002</v>
      </c>
      <c r="X405">
        <v>0.433</v>
      </c>
      <c r="Y405">
        <v>0.433</v>
      </c>
      <c r="Z405" s="5">
        <f t="shared" si="22"/>
        <v>43.3</v>
      </c>
    </row>
    <row r="406" spans="1:26" x14ac:dyDescent="0.25">
      <c r="A406" t="s">
        <v>22</v>
      </c>
      <c r="B406">
        <v>11</v>
      </c>
      <c r="C406">
        <v>2012</v>
      </c>
      <c r="D406" s="5">
        <v>29</v>
      </c>
      <c r="E406" s="5">
        <v>52.1</v>
      </c>
      <c r="F406" s="5">
        <f t="shared" si="21"/>
        <v>23.1</v>
      </c>
      <c r="G406" s="7">
        <v>1.02008491</v>
      </c>
      <c r="H406" s="7">
        <v>5.3794586986567232</v>
      </c>
      <c r="I406" s="8">
        <v>46412.115464000002</v>
      </c>
      <c r="J406" s="12">
        <v>0.41849799999999998</v>
      </c>
      <c r="K406" s="7">
        <v>86.51405487904826</v>
      </c>
      <c r="L406" s="5">
        <v>0.62849503755569502</v>
      </c>
      <c r="M406" s="5">
        <v>62.849503755569501</v>
      </c>
      <c r="N406" s="16">
        <v>1.8103646</v>
      </c>
      <c r="O406" s="20">
        <v>3.28125</v>
      </c>
      <c r="P406" s="16">
        <v>1.8124802</v>
      </c>
      <c r="Q406" s="25">
        <f t="shared" si="23"/>
        <v>0.59594999999999998</v>
      </c>
      <c r="R406">
        <v>0.68945999999999996</v>
      </c>
      <c r="S406" s="24">
        <v>-9.351000000000001E-2</v>
      </c>
      <c r="T406">
        <f>Q406/100</f>
        <v>5.9594999999999995E-3</v>
      </c>
      <c r="U406">
        <f>R406/100</f>
        <v>6.8945999999999999E-3</v>
      </c>
      <c r="V406">
        <f>S406/100</f>
        <v>-9.3510000000000012E-4</v>
      </c>
      <c r="W406">
        <v>0.72497999999999996</v>
      </c>
      <c r="X406">
        <v>0.433</v>
      </c>
      <c r="Y406">
        <v>0.433</v>
      </c>
      <c r="Z406" s="5">
        <f t="shared" si="22"/>
        <v>43.3</v>
      </c>
    </row>
    <row r="407" spans="1:26" x14ac:dyDescent="0.25">
      <c r="A407" t="s">
        <v>22</v>
      </c>
      <c r="B407">
        <v>11</v>
      </c>
      <c r="C407">
        <v>2013</v>
      </c>
      <c r="D407" s="5">
        <v>29.1</v>
      </c>
      <c r="E407" s="5">
        <v>52.3</v>
      </c>
      <c r="F407" s="5">
        <f t="shared" si="21"/>
        <v>23.199999999999996</v>
      </c>
      <c r="G407" s="7">
        <v>1.01504722</v>
      </c>
      <c r="H407" s="7">
        <v>5.2308053764484894</v>
      </c>
      <c r="I407" s="8">
        <v>46488.045872000002</v>
      </c>
      <c r="J407" s="12">
        <v>0.43759100000000001</v>
      </c>
      <c r="K407" s="7">
        <v>85.078876696249125</v>
      </c>
      <c r="L407" s="5">
        <v>0.63076710700988803</v>
      </c>
      <c r="M407" s="5">
        <v>63.076710700988805</v>
      </c>
      <c r="N407" s="16">
        <v>1.8125</v>
      </c>
      <c r="O407" s="20">
        <v>3.375</v>
      </c>
      <c r="P407" s="16">
        <v>1.862069</v>
      </c>
      <c r="Q407" s="25">
        <f t="shared" si="23"/>
        <v>-0.22585</v>
      </c>
      <c r="R407">
        <v>-3.3199999999999993E-2</v>
      </c>
      <c r="S407" s="24">
        <v>-0.19265000000000002</v>
      </c>
      <c r="T407">
        <f>Q407/100</f>
        <v>-2.2585000000000001E-3</v>
      </c>
      <c r="U407">
        <f>R407/100</f>
        <v>-3.3199999999999994E-4</v>
      </c>
      <c r="V407">
        <f>S407/100</f>
        <v>-1.9265000000000003E-3</v>
      </c>
      <c r="W407">
        <v>0.72152000000000005</v>
      </c>
      <c r="X407">
        <v>0.43</v>
      </c>
      <c r="Y407">
        <v>0.43</v>
      </c>
      <c r="Z407" s="5">
        <f t="shared" si="22"/>
        <v>43</v>
      </c>
    </row>
    <row r="408" spans="1:26" x14ac:dyDescent="0.25">
      <c r="A408" t="s">
        <v>22</v>
      </c>
      <c r="B408">
        <v>11</v>
      </c>
      <c r="C408">
        <v>2014</v>
      </c>
      <c r="D408" s="5">
        <v>29.1</v>
      </c>
      <c r="E408" s="5">
        <v>52.2</v>
      </c>
      <c r="F408" s="5">
        <f t="shared" si="21"/>
        <v>23.1</v>
      </c>
      <c r="G408" s="7">
        <v>1.0090679709999999</v>
      </c>
      <c r="H408" s="7">
        <v>4.9807635613734504</v>
      </c>
      <c r="I408" s="8">
        <v>47317.491159999998</v>
      </c>
      <c r="J408" s="12">
        <v>2.209543</v>
      </c>
      <c r="K408" s="7">
        <v>84.62009339249785</v>
      </c>
      <c r="L408" s="5">
        <v>0.62797844409942605</v>
      </c>
      <c r="M408" s="5">
        <v>62.797844409942606</v>
      </c>
      <c r="N408" s="16">
        <v>1.8518519</v>
      </c>
      <c r="O408" s="20">
        <v>3.3950616999999998</v>
      </c>
      <c r="P408" s="16">
        <v>1.8333333000000001</v>
      </c>
      <c r="Q408" s="25">
        <f t="shared" si="23"/>
        <v>0</v>
      </c>
      <c r="R408">
        <v>0</v>
      </c>
      <c r="S408" s="24">
        <v>0</v>
      </c>
      <c r="T408">
        <f>Q408/100</f>
        <v>0</v>
      </c>
      <c r="U408">
        <f>R408/100</f>
        <v>0</v>
      </c>
      <c r="V408">
        <f>S408/100</f>
        <v>0</v>
      </c>
      <c r="W408">
        <v>0.71735000000000004</v>
      </c>
      <c r="X408">
        <v>0.42299999999999999</v>
      </c>
      <c r="Y408">
        <v>0.42299999999999999</v>
      </c>
      <c r="Z408" s="5">
        <f t="shared" si="22"/>
        <v>42.3</v>
      </c>
    </row>
    <row r="409" spans="1:26" x14ac:dyDescent="0.25">
      <c r="A409" t="s">
        <v>23</v>
      </c>
      <c r="B409">
        <v>12</v>
      </c>
      <c r="C409">
        <v>1978</v>
      </c>
      <c r="D409" s="5">
        <v>30.9</v>
      </c>
      <c r="E409" s="5">
        <v>49.2</v>
      </c>
      <c r="F409" s="5">
        <f t="shared" si="21"/>
        <v>18.300000000000004</v>
      </c>
      <c r="G409" s="7">
        <v>1.0771113800000001</v>
      </c>
      <c r="H409" s="7">
        <v>8.291457286432161</v>
      </c>
      <c r="I409" s="8">
        <v>17967.969151000001</v>
      </c>
      <c r="J409" s="12">
        <v>7.1867289999999997</v>
      </c>
      <c r="K409" s="7">
        <v>99.71219299821864</v>
      </c>
      <c r="L409" s="5">
        <v>0.55558782815933205</v>
      </c>
      <c r="M409" s="5">
        <v>55.558782815933206</v>
      </c>
      <c r="Q409" s="25">
        <f t="shared" si="23"/>
        <v>0</v>
      </c>
      <c r="R409">
        <v>0</v>
      </c>
      <c r="S409" s="24">
        <v>0</v>
      </c>
      <c r="T409">
        <f>Q409/100</f>
        <v>0</v>
      </c>
      <c r="U409">
        <f>R409/100</f>
        <v>0</v>
      </c>
      <c r="V409">
        <f>S409/100</f>
        <v>0</v>
      </c>
    </row>
    <row r="410" spans="1:26" x14ac:dyDescent="0.25">
      <c r="A410" t="s">
        <v>23</v>
      </c>
      <c r="B410">
        <v>12</v>
      </c>
      <c r="C410">
        <v>1979</v>
      </c>
      <c r="D410" s="5">
        <v>31</v>
      </c>
      <c r="E410" s="5">
        <v>49.4</v>
      </c>
      <c r="F410" s="5">
        <f t="shared" si="21"/>
        <v>18.399999999999999</v>
      </c>
      <c r="G410" s="7">
        <v>1.1329545000000001</v>
      </c>
      <c r="H410" s="7">
        <v>6.8259109311740884</v>
      </c>
      <c r="I410" s="8">
        <v>18223.193384999999</v>
      </c>
      <c r="J410" s="12">
        <v>3.0730360000000001</v>
      </c>
      <c r="K410" s="7">
        <v>105.29915800837901</v>
      </c>
      <c r="L410" s="5">
        <v>0.55558782815933205</v>
      </c>
      <c r="M410" s="5">
        <v>55.558782815933206</v>
      </c>
      <c r="Q410" s="25">
        <f t="shared" si="23"/>
        <v>0</v>
      </c>
      <c r="R410">
        <v>0</v>
      </c>
      <c r="S410" s="24">
        <v>0</v>
      </c>
      <c r="T410">
        <f>Q410/100</f>
        <v>0</v>
      </c>
      <c r="U410">
        <f>R410/100</f>
        <v>0</v>
      </c>
      <c r="V410">
        <f>S410/100</f>
        <v>0</v>
      </c>
    </row>
    <row r="411" spans="1:26" x14ac:dyDescent="0.25">
      <c r="A411" t="s">
        <v>23</v>
      </c>
      <c r="B411">
        <v>12</v>
      </c>
      <c r="C411">
        <v>1980</v>
      </c>
      <c r="D411" s="5">
        <v>31</v>
      </c>
      <c r="E411" s="5">
        <v>49.5</v>
      </c>
      <c r="F411" s="5">
        <f t="shared" si="21"/>
        <v>18.5</v>
      </c>
      <c r="G411" s="7">
        <v>1.1815446000000001</v>
      </c>
      <c r="H411" s="7">
        <v>7.3863636363636367</v>
      </c>
      <c r="I411" s="8">
        <v>18602.080459000001</v>
      </c>
      <c r="J411" s="12">
        <v>3.079329</v>
      </c>
      <c r="K411" s="7">
        <v>102.3031180235154</v>
      </c>
      <c r="L411" s="5">
        <v>0.55558782815933205</v>
      </c>
      <c r="M411" s="5">
        <v>55.558782815933206</v>
      </c>
      <c r="Q411" s="25">
        <f t="shared" si="23"/>
        <v>0</v>
      </c>
      <c r="R411">
        <v>0</v>
      </c>
      <c r="S411" s="24">
        <v>0</v>
      </c>
      <c r="T411">
        <f>Q411/100</f>
        <v>0</v>
      </c>
      <c r="U411">
        <f>R411/100</f>
        <v>0</v>
      </c>
      <c r="V411">
        <f>S411/100</f>
        <v>0</v>
      </c>
    </row>
    <row r="412" spans="1:26" x14ac:dyDescent="0.25">
      <c r="A412" t="s">
        <v>23</v>
      </c>
      <c r="B412">
        <v>12</v>
      </c>
      <c r="C412">
        <v>1981</v>
      </c>
      <c r="D412" s="5">
        <v>31.2</v>
      </c>
      <c r="E412" s="5">
        <v>49.7</v>
      </c>
      <c r="F412" s="5">
        <f t="shared" si="21"/>
        <v>18.500000000000004</v>
      </c>
      <c r="G412" s="7">
        <v>1.2037351000000001</v>
      </c>
      <c r="H412" s="7">
        <v>10.495672698662471</v>
      </c>
      <c r="I412" s="8">
        <v>18986.173651000001</v>
      </c>
      <c r="J412" s="12">
        <v>3.3252160000000002</v>
      </c>
      <c r="K412" s="7">
        <v>100.97458635593819</v>
      </c>
      <c r="L412" s="5">
        <v>0.55558782815933205</v>
      </c>
      <c r="M412" s="5">
        <v>55.558782815933206</v>
      </c>
      <c r="Q412" s="25">
        <f t="shared" si="23"/>
        <v>0</v>
      </c>
      <c r="R412">
        <v>0</v>
      </c>
      <c r="S412" s="24">
        <v>0</v>
      </c>
      <c r="T412">
        <f>Q412/100</f>
        <v>0</v>
      </c>
      <c r="U412">
        <f>R412/100</f>
        <v>0</v>
      </c>
      <c r="V412">
        <f>S412/100</f>
        <v>0</v>
      </c>
    </row>
    <row r="413" spans="1:26" x14ac:dyDescent="0.25">
      <c r="A413" t="s">
        <v>23</v>
      </c>
      <c r="B413">
        <v>12</v>
      </c>
      <c r="C413">
        <v>1982</v>
      </c>
      <c r="D413" s="5">
        <v>31.5</v>
      </c>
      <c r="E413" s="5">
        <v>49.8</v>
      </c>
      <c r="F413" s="5">
        <f t="shared" si="21"/>
        <v>18.299999999999997</v>
      </c>
      <c r="G413" s="7">
        <v>1.1714711</v>
      </c>
      <c r="H413" s="7">
        <v>11.553473848555816</v>
      </c>
      <c r="I413" s="8">
        <v>19213.242934999998</v>
      </c>
      <c r="J413" s="12">
        <v>2.2834680000000001</v>
      </c>
      <c r="K413" s="7">
        <v>93.969662876781882</v>
      </c>
      <c r="L413" s="5">
        <v>0.55558782815933205</v>
      </c>
      <c r="M413" s="5">
        <v>55.558782815933206</v>
      </c>
      <c r="Q413" s="25">
        <f t="shared" si="23"/>
        <v>3.2515499999999999</v>
      </c>
      <c r="R413">
        <v>0.30325000000000002</v>
      </c>
      <c r="S413" s="24">
        <v>2.9482999999999997</v>
      </c>
      <c r="T413">
        <f>Q413/100</f>
        <v>3.2515500000000003E-2</v>
      </c>
      <c r="U413">
        <f>R413/100</f>
        <v>3.0325E-3</v>
      </c>
      <c r="V413">
        <f>S413/100</f>
        <v>2.9482999999999995E-2</v>
      </c>
    </row>
    <row r="414" spans="1:26" x14ac:dyDescent="0.25">
      <c r="A414" t="s">
        <v>23</v>
      </c>
      <c r="B414">
        <v>12</v>
      </c>
      <c r="C414">
        <v>1983</v>
      </c>
      <c r="D414" s="5">
        <v>31.7</v>
      </c>
      <c r="E414" s="5">
        <v>50</v>
      </c>
      <c r="F414" s="5">
        <f t="shared" si="21"/>
        <v>18.3</v>
      </c>
      <c r="G414" s="7">
        <v>1.1044763</v>
      </c>
      <c r="H414" s="7">
        <v>14.035490286063942</v>
      </c>
      <c r="I414" s="8">
        <v>19029.597881000002</v>
      </c>
      <c r="J414" s="12">
        <v>-0.24430099999999999</v>
      </c>
      <c r="K414" s="7">
        <v>97.736482787521197</v>
      </c>
      <c r="L414" s="5">
        <v>0.55558782815933205</v>
      </c>
      <c r="M414" s="5">
        <v>55.558782815933206</v>
      </c>
      <c r="Q414" s="25">
        <f t="shared" si="23"/>
        <v>2.71279</v>
      </c>
      <c r="R414">
        <v>6.6919999999999993E-2</v>
      </c>
      <c r="S414" s="24">
        <v>2.6458699999999999</v>
      </c>
      <c r="T414">
        <f>Q414/100</f>
        <v>2.71279E-2</v>
      </c>
      <c r="U414">
        <f>R414/100</f>
        <v>6.6919999999999989E-4</v>
      </c>
      <c r="V414">
        <f>S414/100</f>
        <v>2.6458699999999998E-2</v>
      </c>
    </row>
    <row r="415" spans="1:26" x14ac:dyDescent="0.25">
      <c r="A415" t="s">
        <v>23</v>
      </c>
      <c r="B415">
        <v>12</v>
      </c>
      <c r="C415">
        <v>1984</v>
      </c>
      <c r="D415" s="5">
        <v>31.9</v>
      </c>
      <c r="E415" s="5">
        <v>50.1</v>
      </c>
      <c r="F415" s="5">
        <f t="shared" si="21"/>
        <v>18.200000000000003</v>
      </c>
      <c r="G415" s="7">
        <v>1.0865111000000001</v>
      </c>
      <c r="H415" s="7">
        <v>15.595347413529234</v>
      </c>
      <c r="I415" s="8">
        <v>19723.165826</v>
      </c>
      <c r="J415" s="12">
        <v>4.3543729999999998</v>
      </c>
      <c r="K415" s="7">
        <v>108.3054684326297</v>
      </c>
      <c r="L415" s="5">
        <v>0.55558782815933205</v>
      </c>
      <c r="M415" s="5">
        <v>55.558782815933206</v>
      </c>
      <c r="Q415" s="25">
        <f t="shared" si="23"/>
        <v>0.31265999999999999</v>
      </c>
      <c r="R415">
        <v>0</v>
      </c>
      <c r="S415" s="24">
        <v>0.31265999999999999</v>
      </c>
      <c r="T415">
        <f>Q415/100</f>
        <v>3.1265999999999998E-3</v>
      </c>
      <c r="U415">
        <f>R415/100</f>
        <v>0</v>
      </c>
      <c r="V415">
        <f>S415/100</f>
        <v>3.1265999999999998E-3</v>
      </c>
    </row>
    <row r="416" spans="1:26" x14ac:dyDescent="0.25">
      <c r="A416" t="s">
        <v>23</v>
      </c>
      <c r="B416">
        <v>12</v>
      </c>
      <c r="C416">
        <v>1985</v>
      </c>
      <c r="D416" s="5">
        <v>32.1</v>
      </c>
      <c r="E416" s="5">
        <v>50.2</v>
      </c>
      <c r="F416" s="5">
        <f t="shared" si="21"/>
        <v>18.100000000000001</v>
      </c>
      <c r="G416" s="7">
        <v>1.0539549500000001</v>
      </c>
      <c r="H416" s="7">
        <v>16.7427701674277</v>
      </c>
      <c r="I416" s="8">
        <v>20262.845066999998</v>
      </c>
      <c r="J416" s="12">
        <v>3.0856150000000002</v>
      </c>
      <c r="K416" s="7">
        <v>107.7613703484938</v>
      </c>
      <c r="L416" s="5">
        <v>0.55558782815933205</v>
      </c>
      <c r="M416" s="5">
        <v>55.558782815933206</v>
      </c>
      <c r="Q416" s="25">
        <f t="shared" si="23"/>
        <v>0.13156000000000001</v>
      </c>
      <c r="R416">
        <v>0</v>
      </c>
      <c r="S416" s="24">
        <v>0.13156000000000001</v>
      </c>
      <c r="T416">
        <f>Q416/100</f>
        <v>1.3156000000000001E-3</v>
      </c>
      <c r="U416">
        <f>R416/100</f>
        <v>0</v>
      </c>
      <c r="V416">
        <f>S416/100</f>
        <v>1.3156000000000001E-3</v>
      </c>
    </row>
    <row r="417" spans="1:26" x14ac:dyDescent="0.25">
      <c r="A417" t="s">
        <v>23</v>
      </c>
      <c r="B417">
        <v>12</v>
      </c>
      <c r="C417">
        <v>1986</v>
      </c>
      <c r="D417" s="5">
        <v>32.299999999999997</v>
      </c>
      <c r="E417" s="5">
        <v>50.4</v>
      </c>
      <c r="F417" s="5">
        <f t="shared" si="21"/>
        <v>18.100000000000001</v>
      </c>
      <c r="G417" s="7">
        <v>1.0382703799999999</v>
      </c>
      <c r="H417" s="7">
        <v>17.147192716236724</v>
      </c>
      <c r="I417" s="8">
        <v>20170.356885000001</v>
      </c>
      <c r="J417" s="12">
        <v>-0.42833100000000002</v>
      </c>
      <c r="K417" s="7">
        <v>97.125484451599505</v>
      </c>
      <c r="L417" s="5">
        <v>0.55558782815933205</v>
      </c>
      <c r="M417" s="5">
        <v>55.558782815933206</v>
      </c>
      <c r="Q417" s="25">
        <f t="shared" si="23"/>
        <v>0.56065999999999994</v>
      </c>
      <c r="R417">
        <v>0</v>
      </c>
      <c r="S417" s="24">
        <v>0.56065999999999994</v>
      </c>
      <c r="T417">
        <f>Q417/100</f>
        <v>5.6065999999999998E-3</v>
      </c>
      <c r="U417">
        <f>R417/100</f>
        <v>0</v>
      </c>
      <c r="V417">
        <f>S417/100</f>
        <v>5.6065999999999998E-3</v>
      </c>
    </row>
    <row r="418" spans="1:26" x14ac:dyDescent="0.25">
      <c r="A418" t="s">
        <v>23</v>
      </c>
      <c r="B418">
        <v>12</v>
      </c>
      <c r="C418">
        <v>1987</v>
      </c>
      <c r="D418" s="5">
        <v>32.5</v>
      </c>
      <c r="E418" s="5">
        <v>50.5</v>
      </c>
      <c r="F418" s="5">
        <f t="shared" si="21"/>
        <v>18</v>
      </c>
      <c r="G418" s="7">
        <v>1.03159406</v>
      </c>
      <c r="H418" s="7">
        <v>16.965027570058162</v>
      </c>
      <c r="I418" s="8">
        <v>21104.960513999999</v>
      </c>
      <c r="J418" s="12">
        <v>4.6630909999999997</v>
      </c>
      <c r="K418" s="7">
        <v>100.74421813413166</v>
      </c>
      <c r="L418" s="5">
        <v>0.55558782815933205</v>
      </c>
      <c r="M418" s="5">
        <v>55.558782815933206</v>
      </c>
      <c r="Q418" s="25">
        <f t="shared" si="23"/>
        <v>1.61744</v>
      </c>
      <c r="R418">
        <v>1.1986300000000001</v>
      </c>
      <c r="S418" s="24">
        <v>0.41880999999999996</v>
      </c>
      <c r="T418">
        <f>Q418/100</f>
        <v>1.6174399999999999E-2</v>
      </c>
      <c r="U418">
        <f>R418/100</f>
        <v>1.19863E-2</v>
      </c>
      <c r="V418">
        <f>S418/100</f>
        <v>4.1880999999999993E-3</v>
      </c>
    </row>
    <row r="419" spans="1:26" x14ac:dyDescent="0.25">
      <c r="A419" t="s">
        <v>23</v>
      </c>
      <c r="B419">
        <v>12</v>
      </c>
      <c r="C419">
        <v>1988</v>
      </c>
      <c r="D419" s="5">
        <v>32.6</v>
      </c>
      <c r="E419" s="5">
        <v>50.5</v>
      </c>
      <c r="F419" s="5">
        <f t="shared" si="21"/>
        <v>17.899999999999999</v>
      </c>
      <c r="G419" s="7">
        <v>1.0213457100000001</v>
      </c>
      <c r="H419" s="7">
        <v>16.383965923784892</v>
      </c>
      <c r="I419" s="8">
        <v>22281.560477999999</v>
      </c>
      <c r="J419" s="12">
        <v>5.2174139999999998</v>
      </c>
      <c r="K419" s="7">
        <v>105.21843535016792</v>
      </c>
      <c r="L419" s="5">
        <v>0.55558782815933205</v>
      </c>
      <c r="M419" s="5">
        <v>55.558782815933206</v>
      </c>
      <c r="Q419" s="25">
        <f t="shared" si="23"/>
        <v>2.0879300000000001</v>
      </c>
      <c r="R419">
        <v>2.0879300000000001</v>
      </c>
      <c r="S419" s="24">
        <v>0</v>
      </c>
      <c r="T419">
        <f>Q419/100</f>
        <v>2.08793E-2</v>
      </c>
      <c r="U419">
        <f>R419/100</f>
        <v>2.08793E-2</v>
      </c>
      <c r="V419">
        <f>S419/100</f>
        <v>0</v>
      </c>
    </row>
    <row r="420" spans="1:26" x14ac:dyDescent="0.25">
      <c r="A420" t="s">
        <v>23</v>
      </c>
      <c r="B420">
        <v>12</v>
      </c>
      <c r="C420">
        <v>1989</v>
      </c>
      <c r="D420" s="5">
        <v>32.700000000000003</v>
      </c>
      <c r="E420" s="5">
        <v>50.5</v>
      </c>
      <c r="F420" s="5">
        <f t="shared" si="21"/>
        <v>17.799999999999997</v>
      </c>
      <c r="G420" s="7">
        <v>1.0408904999999999</v>
      </c>
      <c r="H420" s="7">
        <v>15.193391492318383</v>
      </c>
      <c r="I420" s="8">
        <v>23718.051407999999</v>
      </c>
      <c r="J420" s="12">
        <v>5.8139200000000004</v>
      </c>
      <c r="K420" s="7">
        <v>112.46533648429826</v>
      </c>
      <c r="L420" s="5">
        <v>0.55558782815933205</v>
      </c>
      <c r="M420" s="5">
        <v>55.558782815933206</v>
      </c>
      <c r="Q420" s="25">
        <f t="shared" si="23"/>
        <v>0</v>
      </c>
      <c r="R420">
        <v>0</v>
      </c>
      <c r="S420" s="24">
        <v>0</v>
      </c>
      <c r="T420">
        <f>Q420/100</f>
        <v>0</v>
      </c>
      <c r="U420">
        <f>R420/100</f>
        <v>0</v>
      </c>
      <c r="V420">
        <f>S420/100</f>
        <v>0</v>
      </c>
    </row>
    <row r="421" spans="1:26" x14ac:dyDescent="0.25">
      <c r="A421" t="s">
        <v>23</v>
      </c>
      <c r="B421">
        <v>12</v>
      </c>
      <c r="C421">
        <v>1990</v>
      </c>
      <c r="D421" s="5">
        <v>32.700000000000003</v>
      </c>
      <c r="E421" s="5">
        <v>50.5</v>
      </c>
      <c r="F421" s="5">
        <f t="shared" si="21"/>
        <v>17.799999999999997</v>
      </c>
      <c r="G421" s="7">
        <v>1.0331732899999999</v>
      </c>
      <c r="H421" s="7">
        <v>13.031975205986846</v>
      </c>
      <c r="I421" s="8">
        <v>25755.497855000001</v>
      </c>
      <c r="J421" s="12">
        <v>8.4665280000000003</v>
      </c>
      <c r="K421" s="7">
        <v>105.02944710830364</v>
      </c>
      <c r="L421" s="5">
        <v>0.55558782815933205</v>
      </c>
      <c r="M421" s="5">
        <v>55.558782815933206</v>
      </c>
      <c r="Q421" s="25">
        <f t="shared" si="23"/>
        <v>0</v>
      </c>
      <c r="R421">
        <v>0</v>
      </c>
      <c r="S421" s="24">
        <v>0</v>
      </c>
      <c r="T421">
        <f>Q421/100</f>
        <v>0</v>
      </c>
      <c r="U421">
        <f>R421/100</f>
        <v>0</v>
      </c>
      <c r="V421">
        <f>S421/100</f>
        <v>0</v>
      </c>
    </row>
    <row r="422" spans="1:26" x14ac:dyDescent="0.25">
      <c r="A422" t="s">
        <v>23</v>
      </c>
      <c r="B422">
        <v>12</v>
      </c>
      <c r="C422">
        <v>1991</v>
      </c>
      <c r="D422" s="5">
        <v>32.799999999999997</v>
      </c>
      <c r="E422" s="5">
        <v>50.5</v>
      </c>
      <c r="F422" s="5">
        <f t="shared" si="21"/>
        <v>17.700000000000003</v>
      </c>
      <c r="G422" s="7">
        <v>1.03210815</v>
      </c>
      <c r="H422" s="7">
        <v>14.755073217869622</v>
      </c>
      <c r="I422" s="8">
        <v>26103.578093</v>
      </c>
      <c r="J422" s="12">
        <v>1.92964</v>
      </c>
      <c r="K422" s="7">
        <v>106.44023427236453</v>
      </c>
      <c r="L422" s="5">
        <v>0.55558782815933205</v>
      </c>
      <c r="M422" s="5">
        <v>55.558782815933206</v>
      </c>
      <c r="Q422" s="25">
        <f t="shared" si="23"/>
        <v>0</v>
      </c>
      <c r="R422">
        <v>0</v>
      </c>
      <c r="S422" s="24">
        <v>0</v>
      </c>
      <c r="T422">
        <f>Q422/100</f>
        <v>0</v>
      </c>
      <c r="U422">
        <f>R422/100</f>
        <v>0</v>
      </c>
      <c r="V422">
        <f>S422/100</f>
        <v>0</v>
      </c>
    </row>
    <row r="423" spans="1:26" x14ac:dyDescent="0.25">
      <c r="A423" t="s">
        <v>23</v>
      </c>
      <c r="B423">
        <v>12</v>
      </c>
      <c r="C423">
        <v>1992</v>
      </c>
      <c r="D423" s="5">
        <v>32.9</v>
      </c>
      <c r="E423" s="5">
        <v>50.5</v>
      </c>
      <c r="F423" s="5">
        <f t="shared" si="21"/>
        <v>17.600000000000001</v>
      </c>
      <c r="G423" s="7">
        <v>1.03069996</v>
      </c>
      <c r="H423" s="7">
        <v>15.173325499412456</v>
      </c>
      <c r="I423" s="8">
        <v>26756.232527</v>
      </c>
      <c r="J423" s="12">
        <v>3.3432740000000001</v>
      </c>
      <c r="K423" s="7">
        <v>109.54546995765</v>
      </c>
      <c r="L423" s="5">
        <v>0.55558782815933205</v>
      </c>
      <c r="M423" s="5">
        <v>55.558782815933206</v>
      </c>
      <c r="Q423" s="25">
        <f t="shared" si="23"/>
        <v>0</v>
      </c>
      <c r="R423">
        <v>0</v>
      </c>
      <c r="S423" s="24">
        <v>0</v>
      </c>
      <c r="T423">
        <f>Q423/100</f>
        <v>0</v>
      </c>
      <c r="U423">
        <f>R423/100</f>
        <v>0</v>
      </c>
      <c r="V423">
        <f>S423/100</f>
        <v>0</v>
      </c>
    </row>
    <row r="424" spans="1:26" x14ac:dyDescent="0.25">
      <c r="A424" t="s">
        <v>23</v>
      </c>
      <c r="B424">
        <v>12</v>
      </c>
      <c r="C424">
        <v>1993</v>
      </c>
      <c r="D424" s="5">
        <v>33</v>
      </c>
      <c r="E424" s="5">
        <v>50.4</v>
      </c>
      <c r="F424" s="5">
        <f t="shared" si="21"/>
        <v>17.399999999999999</v>
      </c>
      <c r="G424" s="7">
        <v>1.0146942000000001</v>
      </c>
      <c r="H424" s="7">
        <v>15.791361744870139</v>
      </c>
      <c r="I424" s="8">
        <v>27330.602567000002</v>
      </c>
      <c r="J424" s="12">
        <v>2.692609</v>
      </c>
      <c r="K424" s="7">
        <v>116.60270229334392</v>
      </c>
      <c r="L424" s="5">
        <v>0.55558782815933205</v>
      </c>
      <c r="M424" s="5">
        <v>55.558782815933206</v>
      </c>
      <c r="Q424" s="25">
        <f t="shared" si="23"/>
        <v>0</v>
      </c>
      <c r="R424">
        <v>0</v>
      </c>
      <c r="S424" s="24">
        <v>0</v>
      </c>
      <c r="T424">
        <f>Q424/100</f>
        <v>0</v>
      </c>
      <c r="U424">
        <f>R424/100</f>
        <v>0</v>
      </c>
      <c r="V424">
        <f>S424/100</f>
        <v>0</v>
      </c>
    </row>
    <row r="425" spans="1:26" x14ac:dyDescent="0.25">
      <c r="A425" t="s">
        <v>23</v>
      </c>
      <c r="B425">
        <v>12</v>
      </c>
      <c r="C425">
        <v>1994</v>
      </c>
      <c r="D425" s="5">
        <v>33</v>
      </c>
      <c r="E425" s="5">
        <v>50.4</v>
      </c>
      <c r="F425" s="5">
        <f t="shared" ref="F425:F488" si="24">E425-D425</f>
        <v>17.399999999999999</v>
      </c>
      <c r="G425" s="7">
        <v>1.02309198</v>
      </c>
      <c r="H425" s="7">
        <v>14.817415730337077</v>
      </c>
      <c r="I425" s="8">
        <v>28806.982947</v>
      </c>
      <c r="J425" s="12">
        <v>5.755827</v>
      </c>
      <c r="K425" s="7">
        <v>126.48892408621106</v>
      </c>
      <c r="L425" s="5">
        <v>0.55558782815933205</v>
      </c>
      <c r="M425" s="5">
        <v>55.558782815933206</v>
      </c>
      <c r="N425" s="16">
        <v>1.6138607</v>
      </c>
      <c r="O425" s="20">
        <v>4.0573769999999998</v>
      </c>
      <c r="P425" s="16">
        <v>2.5140813999999998</v>
      </c>
      <c r="Q425" s="25">
        <f t="shared" si="23"/>
        <v>0</v>
      </c>
      <c r="R425">
        <v>0</v>
      </c>
      <c r="S425" s="24">
        <v>0</v>
      </c>
      <c r="T425">
        <f>Q425/100</f>
        <v>0</v>
      </c>
      <c r="U425">
        <f>R425/100</f>
        <v>0</v>
      </c>
      <c r="V425">
        <f>S425/100</f>
        <v>0</v>
      </c>
      <c r="W425">
        <v>0.81477999999999995</v>
      </c>
    </row>
    <row r="426" spans="1:26" x14ac:dyDescent="0.25">
      <c r="A426" t="s">
        <v>23</v>
      </c>
      <c r="B426">
        <v>12</v>
      </c>
      <c r="C426">
        <v>1995</v>
      </c>
      <c r="D426" s="5">
        <v>33</v>
      </c>
      <c r="E426" s="5">
        <v>50.4</v>
      </c>
      <c r="F426" s="5">
        <f t="shared" si="24"/>
        <v>17.399999999999999</v>
      </c>
      <c r="G426" s="7">
        <v>1.0252486599999999</v>
      </c>
      <c r="H426" s="7">
        <v>12.2378587196468</v>
      </c>
      <c r="I426" s="8">
        <v>31448.192720999999</v>
      </c>
      <c r="J426" s="12">
        <v>9.6344220000000007</v>
      </c>
      <c r="K426" s="7">
        <v>136.10314992638618</v>
      </c>
      <c r="L426" s="5">
        <v>0.55558782815933205</v>
      </c>
      <c r="M426" s="5">
        <v>55.558782815933206</v>
      </c>
      <c r="N426" s="16">
        <v>1.5872885999999999</v>
      </c>
      <c r="O426" s="20">
        <v>4.0152468333333298</v>
      </c>
      <c r="P426" s="16">
        <v>2.5301647333333301</v>
      </c>
      <c r="Q426" s="25">
        <f t="shared" si="23"/>
        <v>0</v>
      </c>
      <c r="R426">
        <v>0</v>
      </c>
      <c r="S426" s="24">
        <v>0</v>
      </c>
      <c r="T426">
        <f>Q426/100</f>
        <v>0</v>
      </c>
      <c r="U426">
        <f>R426/100</f>
        <v>0</v>
      </c>
      <c r="V426">
        <f>S426/100</f>
        <v>0</v>
      </c>
      <c r="W426">
        <v>0.79786999999999997</v>
      </c>
    </row>
    <row r="427" spans="1:26" x14ac:dyDescent="0.25">
      <c r="A427" t="s">
        <v>23</v>
      </c>
      <c r="B427">
        <v>12</v>
      </c>
      <c r="C427">
        <v>1996</v>
      </c>
      <c r="D427" s="5">
        <v>32.799999999999997</v>
      </c>
      <c r="E427" s="5">
        <v>50.3</v>
      </c>
      <c r="F427" s="5">
        <f t="shared" si="24"/>
        <v>17.5</v>
      </c>
      <c r="G427" s="7">
        <v>1.01753731</v>
      </c>
      <c r="H427" s="7">
        <v>11.948468059542087</v>
      </c>
      <c r="I427" s="8">
        <v>33537.994864</v>
      </c>
      <c r="J427" s="12">
        <v>7.3796239999999997</v>
      </c>
      <c r="K427" s="7">
        <v>138.86816005594773</v>
      </c>
      <c r="L427" s="5">
        <v>0.55684971809387196</v>
      </c>
      <c r="M427" s="5">
        <v>55.684971809387193</v>
      </c>
      <c r="Q427" s="25">
        <f t="shared" si="23"/>
        <v>0</v>
      </c>
      <c r="R427">
        <v>0</v>
      </c>
      <c r="S427" s="24">
        <v>0</v>
      </c>
      <c r="T427">
        <f>Q427/100</f>
        <v>0</v>
      </c>
      <c r="U427">
        <f>R427/100</f>
        <v>0</v>
      </c>
      <c r="V427">
        <f>S427/100</f>
        <v>0</v>
      </c>
      <c r="W427">
        <v>0.79749000000000003</v>
      </c>
    </row>
    <row r="428" spans="1:26" x14ac:dyDescent="0.25">
      <c r="A428" t="s">
        <v>23</v>
      </c>
      <c r="B428">
        <v>12</v>
      </c>
      <c r="C428">
        <v>1997</v>
      </c>
      <c r="D428" s="5">
        <v>32.6</v>
      </c>
      <c r="E428" s="5">
        <v>50.3</v>
      </c>
      <c r="F428" s="5">
        <f t="shared" si="24"/>
        <v>17.699999999999996</v>
      </c>
      <c r="G428" s="7">
        <v>1.0152560500000001</v>
      </c>
      <c r="H428" s="7">
        <v>10.387404455477887</v>
      </c>
      <c r="I428" s="8">
        <v>36846.307752000001</v>
      </c>
      <c r="J428" s="12">
        <v>11.021765</v>
      </c>
      <c r="K428" s="7">
        <v>142.26949690975147</v>
      </c>
      <c r="L428" s="5">
        <v>0.53071868419647195</v>
      </c>
      <c r="M428" s="5">
        <v>53.071868419647195</v>
      </c>
      <c r="N428" s="16">
        <v>1.5341444</v>
      </c>
      <c r="O428" s="20">
        <v>3.9309864999999999</v>
      </c>
      <c r="P428" s="16">
        <v>2.5623314000000001</v>
      </c>
      <c r="Q428" s="25">
        <f t="shared" si="23"/>
        <v>0</v>
      </c>
      <c r="R428">
        <v>0</v>
      </c>
      <c r="S428" s="24">
        <v>0</v>
      </c>
      <c r="T428">
        <f>Q428/100</f>
        <v>0</v>
      </c>
      <c r="U428">
        <f>R428/100</f>
        <v>0</v>
      </c>
      <c r="V428">
        <f>S428/100</f>
        <v>0</v>
      </c>
    </row>
    <row r="429" spans="1:26" x14ac:dyDescent="0.25">
      <c r="A429" t="s">
        <v>23</v>
      </c>
      <c r="B429">
        <v>12</v>
      </c>
      <c r="C429">
        <v>1998</v>
      </c>
      <c r="D429" s="5">
        <v>32.4</v>
      </c>
      <c r="E429" s="5">
        <v>50.3</v>
      </c>
      <c r="F429" s="5">
        <f t="shared" si="24"/>
        <v>17.899999999999999</v>
      </c>
      <c r="G429" s="7">
        <v>1.0241551799999999</v>
      </c>
      <c r="H429" s="7">
        <v>7.5685285358293335</v>
      </c>
      <c r="I429" s="8">
        <v>39538.091286000003</v>
      </c>
      <c r="J429" s="12">
        <v>8.7661230000000003</v>
      </c>
      <c r="K429" s="7">
        <v>157.77241667602669</v>
      </c>
      <c r="L429" s="5">
        <v>0.50819629430770896</v>
      </c>
      <c r="M429" s="5">
        <v>50.819629430770895</v>
      </c>
      <c r="N429" s="16">
        <v>1.58858193333333</v>
      </c>
      <c r="O429" s="20">
        <v>3.70954433333333</v>
      </c>
      <c r="P429" s="16">
        <v>2.3497020666666599</v>
      </c>
      <c r="Q429" s="25">
        <f t="shared" si="23"/>
        <v>0</v>
      </c>
      <c r="R429">
        <v>0</v>
      </c>
      <c r="S429" s="24">
        <v>0</v>
      </c>
      <c r="T429">
        <f>Q429/100</f>
        <v>0</v>
      </c>
      <c r="U429">
        <f>R429/100</f>
        <v>0</v>
      </c>
      <c r="V429">
        <f>S429/100</f>
        <v>0</v>
      </c>
    </row>
    <row r="430" spans="1:26" x14ac:dyDescent="0.25">
      <c r="A430" t="s">
        <v>23</v>
      </c>
      <c r="B430">
        <v>12</v>
      </c>
      <c r="C430">
        <v>1999</v>
      </c>
      <c r="D430" s="5">
        <v>32.1</v>
      </c>
      <c r="E430" s="5">
        <v>50.1</v>
      </c>
      <c r="F430" s="5">
        <f t="shared" si="24"/>
        <v>18</v>
      </c>
      <c r="G430" s="7">
        <v>1.0163192400000001</v>
      </c>
      <c r="H430" s="7">
        <v>5.6126401333002036</v>
      </c>
      <c r="I430" s="8">
        <v>43228.926737000002</v>
      </c>
      <c r="J430" s="12">
        <v>10.529885999999999</v>
      </c>
      <c r="K430" s="7">
        <v>159.87103295576713</v>
      </c>
      <c r="L430" s="5">
        <v>0.49624022841453602</v>
      </c>
      <c r="M430" s="5">
        <v>49.624022841453602</v>
      </c>
      <c r="Q430" s="25">
        <f t="shared" si="23"/>
        <v>0</v>
      </c>
      <c r="R430">
        <v>0</v>
      </c>
      <c r="S430" s="24">
        <v>0</v>
      </c>
      <c r="T430">
        <f>Q430/100</f>
        <v>0</v>
      </c>
      <c r="U430">
        <f>R430/100</f>
        <v>0</v>
      </c>
      <c r="V430">
        <f>S430/100</f>
        <v>0</v>
      </c>
    </row>
    <row r="431" spans="1:26" ht="15.75" x14ac:dyDescent="0.25">
      <c r="A431" t="s">
        <v>23</v>
      </c>
      <c r="B431">
        <v>12</v>
      </c>
      <c r="C431">
        <v>2000</v>
      </c>
      <c r="D431" s="5">
        <v>31.8</v>
      </c>
      <c r="E431" s="5">
        <v>49.8</v>
      </c>
      <c r="F431" s="5">
        <f t="shared" si="24"/>
        <v>17.999999999999996</v>
      </c>
      <c r="G431" s="7">
        <v>1.05590717</v>
      </c>
      <c r="H431" s="7">
        <v>4.3296346031521669</v>
      </c>
      <c r="I431" s="8">
        <v>46678.853169000002</v>
      </c>
      <c r="J431" s="12">
        <v>9.4035240000000009</v>
      </c>
      <c r="K431" s="7">
        <v>174.95455586094619</v>
      </c>
      <c r="L431" s="5">
        <v>0.48276895284652699</v>
      </c>
      <c r="M431" s="5">
        <v>48.276895284652696</v>
      </c>
      <c r="N431" s="16">
        <v>1.697457</v>
      </c>
      <c r="O431" s="20">
        <v>3.2666599999999999</v>
      </c>
      <c r="P431" s="16">
        <v>1.9244433999999999</v>
      </c>
      <c r="Q431" s="25">
        <f t="shared" si="23"/>
        <v>0</v>
      </c>
      <c r="R431">
        <v>0</v>
      </c>
      <c r="S431" s="24">
        <v>0</v>
      </c>
      <c r="T431">
        <f>Q431/100</f>
        <v>0</v>
      </c>
      <c r="U431">
        <f>R431/100</f>
        <v>0</v>
      </c>
      <c r="V431">
        <f>S431/100</f>
        <v>0</v>
      </c>
      <c r="W431">
        <v>0.75007999999999997</v>
      </c>
      <c r="Y431" s="2">
        <v>0.30381999999999998</v>
      </c>
      <c r="Z431" s="6">
        <f>Y431*100</f>
        <v>30.381999999999998</v>
      </c>
    </row>
    <row r="432" spans="1:26" x14ac:dyDescent="0.25">
      <c r="A432" t="s">
        <v>23</v>
      </c>
      <c r="B432">
        <v>12</v>
      </c>
      <c r="C432">
        <v>2001</v>
      </c>
      <c r="D432" s="5">
        <v>31.5</v>
      </c>
      <c r="E432" s="5">
        <v>49.8</v>
      </c>
      <c r="F432" s="5">
        <f t="shared" si="24"/>
        <v>18.299999999999997</v>
      </c>
      <c r="G432" s="7">
        <v>1.0487290499999999</v>
      </c>
      <c r="H432" s="7">
        <v>3.9197874946667217</v>
      </c>
      <c r="I432" s="8">
        <v>48398.064057000003</v>
      </c>
      <c r="J432" s="12">
        <v>5.305822</v>
      </c>
      <c r="K432" s="7">
        <v>174.84073239777999</v>
      </c>
      <c r="L432" s="5">
        <v>0.47704705595970198</v>
      </c>
      <c r="M432" s="5">
        <v>47.704705595970196</v>
      </c>
      <c r="Q432" s="25">
        <f t="shared" si="23"/>
        <v>0</v>
      </c>
      <c r="R432">
        <v>0</v>
      </c>
      <c r="S432" s="24">
        <v>0</v>
      </c>
      <c r="T432">
        <f>Q432/100</f>
        <v>0</v>
      </c>
      <c r="U432">
        <f>R432/100</f>
        <v>0</v>
      </c>
      <c r="V432">
        <f>S432/100</f>
        <v>0</v>
      </c>
    </row>
    <row r="433" spans="1:26" x14ac:dyDescent="0.25">
      <c r="A433" t="s">
        <v>23</v>
      </c>
      <c r="B433">
        <v>12</v>
      </c>
      <c r="C433">
        <v>2002</v>
      </c>
      <c r="D433" s="5">
        <v>31.4</v>
      </c>
      <c r="E433" s="5">
        <v>49.8</v>
      </c>
      <c r="F433" s="5">
        <f t="shared" si="24"/>
        <v>18.399999999999999</v>
      </c>
      <c r="G433" s="7">
        <v>1.0461473299999999</v>
      </c>
      <c r="H433" s="7">
        <v>4.4457888015056799</v>
      </c>
      <c r="I433" s="8">
        <v>50366.118469000001</v>
      </c>
      <c r="J433" s="12">
        <v>5.8993650000000004</v>
      </c>
      <c r="K433" s="7">
        <v>163.71935436000206</v>
      </c>
      <c r="L433" s="5">
        <v>0.45196396112442</v>
      </c>
      <c r="M433" s="5">
        <v>45.196396112442002</v>
      </c>
      <c r="N433" s="19">
        <v>1.86</v>
      </c>
      <c r="P433" s="16">
        <v>1.78</v>
      </c>
      <c r="Q433" s="25">
        <f t="shared" si="23"/>
        <v>0</v>
      </c>
      <c r="R433">
        <v>0</v>
      </c>
      <c r="S433" s="24">
        <v>0</v>
      </c>
      <c r="T433">
        <f>Q433/100</f>
        <v>0</v>
      </c>
      <c r="U433">
        <f>R433/100</f>
        <v>0</v>
      </c>
      <c r="V433">
        <f>S433/100</f>
        <v>0</v>
      </c>
      <c r="W433">
        <v>0.76627000000000001</v>
      </c>
      <c r="X433">
        <v>0.4</v>
      </c>
      <c r="Y433">
        <v>0.4</v>
      </c>
      <c r="Z433" s="5">
        <f>Y433*100</f>
        <v>40</v>
      </c>
    </row>
    <row r="434" spans="1:26" x14ac:dyDescent="0.25">
      <c r="A434" t="s">
        <v>23</v>
      </c>
      <c r="B434">
        <v>12</v>
      </c>
      <c r="C434">
        <v>2003</v>
      </c>
      <c r="D434" s="5">
        <v>31.4</v>
      </c>
      <c r="E434" s="5">
        <v>50.4</v>
      </c>
      <c r="F434" s="5">
        <f t="shared" si="24"/>
        <v>19</v>
      </c>
      <c r="G434" s="7">
        <v>1.0349048999999999</v>
      </c>
      <c r="H434" s="7">
        <v>4.7407329457262373</v>
      </c>
      <c r="I434" s="8">
        <v>51038.577894000002</v>
      </c>
      <c r="J434" s="12">
        <v>3.0140920000000002</v>
      </c>
      <c r="K434" s="7">
        <v>146.53150081124846</v>
      </c>
      <c r="L434" s="5">
        <v>0.46076148748397799</v>
      </c>
      <c r="M434" s="5">
        <v>46.076148748397799</v>
      </c>
      <c r="N434" s="16">
        <v>1.9221915000000001</v>
      </c>
      <c r="O434" s="20">
        <v>3.9044983000000002</v>
      </c>
      <c r="P434" s="16">
        <v>2.0312744</v>
      </c>
      <c r="Q434" s="25">
        <f t="shared" si="23"/>
        <v>0</v>
      </c>
      <c r="R434">
        <v>0</v>
      </c>
      <c r="S434" s="24">
        <v>0</v>
      </c>
      <c r="T434">
        <f>Q434/100</f>
        <v>0</v>
      </c>
      <c r="U434">
        <f>R434/100</f>
        <v>0</v>
      </c>
      <c r="V434">
        <f>S434/100</f>
        <v>0</v>
      </c>
      <c r="W434">
        <v>0.77281</v>
      </c>
      <c r="X434">
        <v>0.40300000000000002</v>
      </c>
      <c r="Y434">
        <v>0.40300000000000002</v>
      </c>
      <c r="Z434" s="5">
        <f t="shared" ref="Z434:Z445" si="25">Y434*100</f>
        <v>40.300000000000004</v>
      </c>
    </row>
    <row r="435" spans="1:26" x14ac:dyDescent="0.25">
      <c r="A435" t="s">
        <v>23</v>
      </c>
      <c r="B435">
        <v>12</v>
      </c>
      <c r="C435">
        <v>2004</v>
      </c>
      <c r="D435" s="5">
        <v>31.4</v>
      </c>
      <c r="E435" s="5">
        <v>51</v>
      </c>
      <c r="F435" s="5">
        <f t="shared" si="24"/>
        <v>19.600000000000001</v>
      </c>
      <c r="G435" s="7">
        <v>1.0219962899999999</v>
      </c>
      <c r="H435" s="7">
        <v>4.5404519976453122</v>
      </c>
      <c r="I435" s="8">
        <v>53560.573442000001</v>
      </c>
      <c r="J435" s="12">
        <v>6.7884479999999998</v>
      </c>
      <c r="K435" s="7">
        <v>146.58752580819638</v>
      </c>
      <c r="L435" s="5">
        <v>0.47111329436302202</v>
      </c>
      <c r="M435" s="5">
        <v>47.111329436302199</v>
      </c>
      <c r="N435" s="16">
        <v>1.7476932999999999</v>
      </c>
      <c r="O435" s="20">
        <v>3.6136333</v>
      </c>
      <c r="P435" s="16">
        <v>2.0676587</v>
      </c>
      <c r="Q435" s="25">
        <f t="shared" si="23"/>
        <v>0</v>
      </c>
      <c r="R435">
        <v>0</v>
      </c>
      <c r="S435" s="24">
        <v>0</v>
      </c>
      <c r="T435">
        <f>Q435/100</f>
        <v>0</v>
      </c>
      <c r="U435">
        <f>R435/100</f>
        <v>0</v>
      </c>
      <c r="V435">
        <f>S435/100</f>
        <v>0</v>
      </c>
      <c r="W435">
        <v>0.77610000000000001</v>
      </c>
      <c r="X435">
        <v>0.41799999999999998</v>
      </c>
      <c r="Y435">
        <v>0.41799999999999998</v>
      </c>
      <c r="Z435" s="5">
        <f t="shared" si="25"/>
        <v>41.8</v>
      </c>
    </row>
    <row r="436" spans="1:26" x14ac:dyDescent="0.25">
      <c r="A436" t="s">
        <v>23</v>
      </c>
      <c r="B436">
        <v>12</v>
      </c>
      <c r="C436">
        <v>2005</v>
      </c>
      <c r="D436" s="5">
        <v>31.3</v>
      </c>
      <c r="E436" s="5">
        <v>51.6</v>
      </c>
      <c r="F436" s="5">
        <f t="shared" si="24"/>
        <v>20.3</v>
      </c>
      <c r="G436" s="7">
        <v>1.0242969200000001</v>
      </c>
      <c r="H436" s="7">
        <v>4.3419134312632464</v>
      </c>
      <c r="I436" s="8">
        <v>55373.188598000001</v>
      </c>
      <c r="J436" s="12">
        <v>5.7395519999999998</v>
      </c>
      <c r="K436" s="7">
        <v>148.17558480427951</v>
      </c>
      <c r="L436" s="5">
        <v>0.48490998148918202</v>
      </c>
      <c r="M436" s="5">
        <v>48.490998148918202</v>
      </c>
      <c r="N436" s="16">
        <v>1.8333333000000001</v>
      </c>
      <c r="O436" s="20">
        <v>3.7325667</v>
      </c>
      <c r="P436" s="16">
        <v>2.0359455</v>
      </c>
      <c r="Q436" s="25">
        <f t="shared" si="23"/>
        <v>0</v>
      </c>
      <c r="R436">
        <v>0</v>
      </c>
      <c r="S436" s="24">
        <v>0</v>
      </c>
      <c r="T436">
        <f>Q436/100</f>
        <v>0</v>
      </c>
      <c r="U436">
        <f>R436/100</f>
        <v>0</v>
      </c>
      <c r="V436">
        <f>S436/100</f>
        <v>0</v>
      </c>
      <c r="W436">
        <v>0.77481999999999995</v>
      </c>
      <c r="X436">
        <v>0.42599999999999999</v>
      </c>
      <c r="Y436">
        <v>0.42599999999999999</v>
      </c>
      <c r="Z436" s="5">
        <f t="shared" si="25"/>
        <v>42.6</v>
      </c>
    </row>
    <row r="437" spans="1:26" x14ac:dyDescent="0.25">
      <c r="A437" t="s">
        <v>23</v>
      </c>
      <c r="B437">
        <v>12</v>
      </c>
      <c r="C437">
        <v>2006</v>
      </c>
      <c r="D437" s="5">
        <v>31.1</v>
      </c>
      <c r="E437" s="5">
        <v>52.2</v>
      </c>
      <c r="F437" s="5">
        <f t="shared" si="24"/>
        <v>21.1</v>
      </c>
      <c r="G437" s="7">
        <v>1.0393163999999999</v>
      </c>
      <c r="H437" s="7">
        <v>4.4152898118590755</v>
      </c>
      <c r="I437" s="8">
        <v>56639.966411000001</v>
      </c>
      <c r="J437" s="12">
        <v>4.9878539999999996</v>
      </c>
      <c r="K437" s="7">
        <v>150.02180473675318</v>
      </c>
      <c r="L437" s="5">
        <v>0.489465892314911</v>
      </c>
      <c r="M437" s="5">
        <v>48.946589231491103</v>
      </c>
      <c r="N437" s="16">
        <v>1.9067658999999999</v>
      </c>
      <c r="O437" s="20">
        <v>3.9160246000000001</v>
      </c>
      <c r="P437" s="16">
        <v>2.0537521000000001</v>
      </c>
      <c r="Q437" s="25">
        <f t="shared" si="23"/>
        <v>0</v>
      </c>
      <c r="R437">
        <v>0</v>
      </c>
      <c r="S437" s="24">
        <v>0</v>
      </c>
      <c r="T437">
        <f>Q437/100</f>
        <v>0</v>
      </c>
      <c r="U437">
        <f>R437/100</f>
        <v>0</v>
      </c>
      <c r="V437">
        <f>S437/100</f>
        <v>0</v>
      </c>
      <c r="W437">
        <v>0.77842</v>
      </c>
      <c r="X437">
        <v>0.45900000000000002</v>
      </c>
      <c r="Y437">
        <v>0.45900000000000002</v>
      </c>
      <c r="Z437" s="5">
        <f t="shared" si="25"/>
        <v>45.9</v>
      </c>
    </row>
    <row r="438" spans="1:26" x14ac:dyDescent="0.25">
      <c r="A438" t="s">
        <v>23</v>
      </c>
      <c r="B438">
        <v>12</v>
      </c>
      <c r="C438">
        <v>2007</v>
      </c>
      <c r="D438" s="5">
        <v>30.8</v>
      </c>
      <c r="E438" s="5">
        <v>53</v>
      </c>
      <c r="F438" s="5">
        <f t="shared" si="24"/>
        <v>22.2</v>
      </c>
      <c r="G438" s="7">
        <v>1.04897116</v>
      </c>
      <c r="H438" s="7">
        <v>4.9802692788929415</v>
      </c>
      <c r="I438" s="8">
        <v>57880.479743999997</v>
      </c>
      <c r="J438" s="12">
        <v>5.3101180000000001</v>
      </c>
      <c r="K438" s="7">
        <v>153.39686381339496</v>
      </c>
      <c r="L438" s="5">
        <v>0.49779891967773399</v>
      </c>
      <c r="M438" s="5">
        <v>49.779891967773402</v>
      </c>
      <c r="N438" s="16">
        <v>1.8579882000000001</v>
      </c>
      <c r="O438" s="20">
        <v>3.7769526999999998</v>
      </c>
      <c r="P438" s="16">
        <v>2.0328184999999999</v>
      </c>
      <c r="Q438" s="25">
        <f t="shared" si="23"/>
        <v>0</v>
      </c>
      <c r="R438">
        <v>0</v>
      </c>
      <c r="S438" s="24">
        <v>0</v>
      </c>
      <c r="T438">
        <f>Q438/100</f>
        <v>0</v>
      </c>
      <c r="U438">
        <f>R438/100</f>
        <v>0</v>
      </c>
      <c r="V438">
        <f>S438/100</f>
        <v>0</v>
      </c>
      <c r="W438">
        <v>0.77605999999999997</v>
      </c>
      <c r="X438">
        <v>0.441</v>
      </c>
      <c r="Y438">
        <v>0.441</v>
      </c>
      <c r="Z438" s="5">
        <f t="shared" si="25"/>
        <v>44.1</v>
      </c>
    </row>
    <row r="439" spans="1:26" x14ac:dyDescent="0.25">
      <c r="A439" t="s">
        <v>23</v>
      </c>
      <c r="B439">
        <v>12</v>
      </c>
      <c r="C439">
        <v>2008</v>
      </c>
      <c r="D439" s="5">
        <v>30.5</v>
      </c>
      <c r="E439" s="5">
        <v>54.1</v>
      </c>
      <c r="F439" s="5">
        <f t="shared" si="24"/>
        <v>23.6</v>
      </c>
      <c r="G439" s="7">
        <v>1.0406030500000001</v>
      </c>
      <c r="H439" s="7">
        <v>6.7750620058084081</v>
      </c>
      <c r="I439" s="8">
        <v>54106.491231</v>
      </c>
      <c r="J439" s="12">
        <v>-4.4840710000000001</v>
      </c>
      <c r="K439" s="7">
        <v>160.03944416028443</v>
      </c>
      <c r="L439" s="5">
        <v>0.53043258190154996</v>
      </c>
      <c r="M439" s="5">
        <v>53.043258190154994</v>
      </c>
      <c r="N439" s="16">
        <v>1.8465909</v>
      </c>
      <c r="O439" s="20">
        <v>3.7455965999999998</v>
      </c>
      <c r="P439" s="16">
        <v>2.0283845999999999</v>
      </c>
      <c r="Q439" s="25">
        <f t="shared" si="23"/>
        <v>0</v>
      </c>
      <c r="R439">
        <v>0</v>
      </c>
      <c r="S439" s="24">
        <v>0</v>
      </c>
      <c r="T439">
        <f>Q439/100</f>
        <v>0</v>
      </c>
      <c r="U439">
        <f>R439/100</f>
        <v>0</v>
      </c>
      <c r="V439">
        <f>S439/100</f>
        <v>0</v>
      </c>
      <c r="W439">
        <v>0.79283999999999999</v>
      </c>
      <c r="X439">
        <v>0.42699999999999999</v>
      </c>
      <c r="Y439">
        <v>0.42699999999999999</v>
      </c>
      <c r="Z439" s="5">
        <f t="shared" si="25"/>
        <v>42.699999999999996</v>
      </c>
    </row>
    <row r="440" spans="1:26" x14ac:dyDescent="0.25">
      <c r="A440" t="s">
        <v>23</v>
      </c>
      <c r="B440">
        <v>12</v>
      </c>
      <c r="C440">
        <v>2009</v>
      </c>
      <c r="D440" s="5">
        <v>30.5</v>
      </c>
      <c r="E440" s="5">
        <v>55.2</v>
      </c>
      <c r="F440" s="5">
        <f t="shared" si="24"/>
        <v>24.700000000000003</v>
      </c>
      <c r="G440" s="7">
        <v>0.95521897</v>
      </c>
      <c r="H440" s="7">
        <v>12.608822923555621</v>
      </c>
      <c r="I440" s="8">
        <v>50861.478000000003</v>
      </c>
      <c r="J440" s="12">
        <v>-5.095783</v>
      </c>
      <c r="K440" s="7">
        <v>173.59149434142799</v>
      </c>
      <c r="L440" s="5">
        <v>0.52639979124069203</v>
      </c>
      <c r="M440" s="5">
        <v>52.6399791240692</v>
      </c>
      <c r="N440" s="16">
        <v>1.8875405000000001</v>
      </c>
      <c r="O440" s="20">
        <v>3.9924488</v>
      </c>
      <c r="P440" s="16">
        <v>2.1151593000000002</v>
      </c>
      <c r="Q440" s="25">
        <f t="shared" si="23"/>
        <v>4.3368099999999998</v>
      </c>
      <c r="R440">
        <v>1.49312</v>
      </c>
      <c r="S440" s="24">
        <v>2.8436900000000001</v>
      </c>
      <c r="T440">
        <f>Q440/100</f>
        <v>4.33681E-2</v>
      </c>
      <c r="U440">
        <f>R440/100</f>
        <v>1.49312E-2</v>
      </c>
      <c r="V440">
        <f>S440/100</f>
        <v>2.8436900000000001E-2</v>
      </c>
      <c r="W440">
        <v>0.81172999999999995</v>
      </c>
      <c r="X440">
        <v>0.42199999999999999</v>
      </c>
      <c r="Y440">
        <v>0.42199999999999999</v>
      </c>
      <c r="Z440" s="5">
        <f t="shared" si="25"/>
        <v>42.199999999999996</v>
      </c>
    </row>
    <row r="441" spans="1:26" x14ac:dyDescent="0.25">
      <c r="A441" t="s">
        <v>23</v>
      </c>
      <c r="B441">
        <v>12</v>
      </c>
      <c r="C441">
        <v>2010</v>
      </c>
      <c r="D441" s="5">
        <v>30.4</v>
      </c>
      <c r="E441" s="5">
        <v>55.9</v>
      </c>
      <c r="F441" s="5">
        <f t="shared" si="24"/>
        <v>25.5</v>
      </c>
      <c r="G441" s="7">
        <v>0.990779042</v>
      </c>
      <c r="H441" s="7">
        <v>14.533812726102493</v>
      </c>
      <c r="I441" s="8">
        <v>51483.689765000003</v>
      </c>
      <c r="J441" s="12">
        <v>1.6829719999999999</v>
      </c>
      <c r="K441" s="7">
        <v>189.92549103211363</v>
      </c>
      <c r="L441" s="5">
        <v>0.49042323231697099</v>
      </c>
      <c r="M441" s="5">
        <v>49.042323231697097</v>
      </c>
      <c r="N441" s="16">
        <v>1.9304881</v>
      </c>
      <c r="O441" s="20">
        <v>3.8558650999999999</v>
      </c>
      <c r="P441" s="16">
        <v>1.9973524</v>
      </c>
      <c r="Q441" s="25">
        <f t="shared" si="23"/>
        <v>4.11714</v>
      </c>
      <c r="R441">
        <v>3.2130700000000001</v>
      </c>
      <c r="S441" s="24">
        <v>0.90407000000000004</v>
      </c>
      <c r="T441">
        <f>Q441/100</f>
        <v>4.1171399999999997E-2</v>
      </c>
      <c r="U441">
        <f>R441/100</f>
        <v>3.2130699999999998E-2</v>
      </c>
      <c r="V441">
        <f>S441/100</f>
        <v>9.0407000000000005E-3</v>
      </c>
      <c r="W441">
        <v>0.81228</v>
      </c>
      <c r="X441">
        <v>0.436</v>
      </c>
      <c r="Y441">
        <v>0.436</v>
      </c>
      <c r="Z441" s="5">
        <f t="shared" si="25"/>
        <v>43.6</v>
      </c>
    </row>
    <row r="442" spans="1:26" x14ac:dyDescent="0.25">
      <c r="A442" t="s">
        <v>23</v>
      </c>
      <c r="B442">
        <v>12</v>
      </c>
      <c r="C442">
        <v>2011</v>
      </c>
      <c r="D442" s="5">
        <v>30.5</v>
      </c>
      <c r="E442" s="5">
        <v>56.2</v>
      </c>
      <c r="F442" s="5">
        <f t="shared" si="24"/>
        <v>25.700000000000003</v>
      </c>
      <c r="G442" s="7">
        <v>1.0255718899999999</v>
      </c>
      <c r="H442" s="7">
        <v>15.353236507082659</v>
      </c>
      <c r="I442" s="8">
        <v>51929.257924999998</v>
      </c>
      <c r="J442" s="12">
        <v>1.2807500000000001</v>
      </c>
      <c r="K442" s="7">
        <v>187.84267305207385</v>
      </c>
      <c r="L442" s="5">
        <v>0.46723154187202498</v>
      </c>
      <c r="M442" s="5">
        <v>46.723154187202496</v>
      </c>
      <c r="N442" s="16">
        <v>1.9861146999999999</v>
      </c>
      <c r="O442" s="20">
        <v>3.9128311</v>
      </c>
      <c r="P442" s="16">
        <v>1.9700932</v>
      </c>
      <c r="Q442" s="25">
        <f t="shared" si="23"/>
        <v>3.4905700000000004</v>
      </c>
      <c r="R442">
        <v>2.6658800000000005</v>
      </c>
      <c r="S442" s="24">
        <v>0.82468999999999992</v>
      </c>
      <c r="T442">
        <f>Q442/100</f>
        <v>3.4905700000000005E-2</v>
      </c>
      <c r="U442">
        <f>R442/100</f>
        <v>2.6658800000000003E-2</v>
      </c>
      <c r="V442">
        <f>S442/100</f>
        <v>8.2468999999999997E-3</v>
      </c>
      <c r="W442">
        <v>0.81003000000000003</v>
      </c>
      <c r="X442">
        <v>0.432</v>
      </c>
      <c r="Y442">
        <v>0.432</v>
      </c>
      <c r="Z442" s="5">
        <f t="shared" si="25"/>
        <v>43.2</v>
      </c>
    </row>
    <row r="443" spans="1:26" x14ac:dyDescent="0.25">
      <c r="A443" t="s">
        <v>23</v>
      </c>
      <c r="B443">
        <v>12</v>
      </c>
      <c r="C443">
        <v>2012</v>
      </c>
      <c r="D443" s="5">
        <v>30.5</v>
      </c>
      <c r="E443" s="5">
        <v>56.4</v>
      </c>
      <c r="F443" s="5">
        <f t="shared" si="24"/>
        <v>25.9</v>
      </c>
      <c r="G443" s="7">
        <v>1.01696209</v>
      </c>
      <c r="H443" s="7">
        <v>15.451541107439128</v>
      </c>
      <c r="I443" s="8">
        <v>51648.752245999996</v>
      </c>
      <c r="J443" s="12">
        <v>-0.12969</v>
      </c>
      <c r="K443" s="7">
        <v>191.44668095144129</v>
      </c>
      <c r="L443" s="5">
        <v>0.45863029360771201</v>
      </c>
      <c r="M443" s="5">
        <v>45.863029360771201</v>
      </c>
      <c r="N443" s="16">
        <v>1.8665528</v>
      </c>
      <c r="O443" s="20">
        <v>3.6389363000000001</v>
      </c>
      <c r="P443" s="16">
        <v>1.9495491</v>
      </c>
      <c r="Q443" s="25">
        <f t="shared" si="23"/>
        <v>3.1487599999999998</v>
      </c>
      <c r="R443">
        <v>1.9018299999999999</v>
      </c>
      <c r="S443" s="24">
        <v>1.2469299999999999</v>
      </c>
      <c r="T443">
        <f>Q443/100</f>
        <v>3.1487599999999998E-2</v>
      </c>
      <c r="U443">
        <f>R443/100</f>
        <v>1.9018299999999998E-2</v>
      </c>
      <c r="V443">
        <f>S443/100</f>
        <v>1.2469299999999999E-2</v>
      </c>
      <c r="W443">
        <v>0.81613999999999998</v>
      </c>
      <c r="X443">
        <v>0.442</v>
      </c>
      <c r="Y443">
        <v>0.442</v>
      </c>
      <c r="Z443" s="5">
        <f t="shared" si="25"/>
        <v>44.2</v>
      </c>
    </row>
    <row r="444" spans="1:26" x14ac:dyDescent="0.25">
      <c r="A444" t="s">
        <v>23</v>
      </c>
      <c r="B444">
        <v>12</v>
      </c>
      <c r="C444">
        <v>2013</v>
      </c>
      <c r="D444" s="5">
        <v>30.5</v>
      </c>
      <c r="E444" s="5">
        <v>56</v>
      </c>
      <c r="F444" s="5">
        <f t="shared" si="24"/>
        <v>25.5</v>
      </c>
      <c r="G444" s="7">
        <v>1.005087149</v>
      </c>
      <c r="H444" s="7">
        <v>13.733542563965589</v>
      </c>
      <c r="I444" s="8">
        <v>51999.773115999997</v>
      </c>
      <c r="J444" s="12">
        <v>1.1746160000000001</v>
      </c>
      <c r="K444" s="7">
        <v>189.24214617216407</v>
      </c>
      <c r="L444" s="5">
        <v>0.45057171583175698</v>
      </c>
      <c r="M444" s="5">
        <v>45.057171583175695</v>
      </c>
      <c r="N444" s="16">
        <v>1.9956643999999999</v>
      </c>
      <c r="O444" s="20">
        <v>3.8640653</v>
      </c>
      <c r="P444" s="16">
        <v>1.9362299999999999</v>
      </c>
      <c r="Q444" s="25">
        <f t="shared" si="23"/>
        <v>2.0300600000000002</v>
      </c>
      <c r="R444">
        <v>1.2486200000000001</v>
      </c>
      <c r="S444" s="24">
        <v>0.78144000000000013</v>
      </c>
      <c r="T444">
        <f>Q444/100</f>
        <v>2.0300600000000002E-2</v>
      </c>
      <c r="U444">
        <f>R444/100</f>
        <v>1.2486200000000001E-2</v>
      </c>
      <c r="V444">
        <f>S444/100</f>
        <v>7.8144000000000009E-3</v>
      </c>
      <c r="W444">
        <v>0.80947000000000002</v>
      </c>
      <c r="X444">
        <v>0.43099999999999999</v>
      </c>
      <c r="Y444">
        <v>0.43099999999999999</v>
      </c>
      <c r="Z444" s="5">
        <f t="shared" si="25"/>
        <v>43.1</v>
      </c>
    </row>
    <row r="445" spans="1:26" x14ac:dyDescent="0.25">
      <c r="A445" t="s">
        <v>23</v>
      </c>
      <c r="B445">
        <v>12</v>
      </c>
      <c r="C445">
        <v>2014</v>
      </c>
      <c r="D445" s="5">
        <v>30.1</v>
      </c>
      <c r="E445" s="5">
        <v>55.3</v>
      </c>
      <c r="F445" s="5">
        <f t="shared" si="24"/>
        <v>25.199999999999996</v>
      </c>
      <c r="G445" s="7">
        <v>1.0018254230000001</v>
      </c>
      <c r="H445" s="7">
        <v>11.856932333159742</v>
      </c>
      <c r="I445" s="8">
        <v>56196.512661000001</v>
      </c>
      <c r="J445" s="12">
        <v>8.8290009999999999</v>
      </c>
      <c r="K445" s="7">
        <v>202.24440498055705</v>
      </c>
      <c r="L445" s="5">
        <v>0.42977514863014199</v>
      </c>
      <c r="M445" s="5">
        <v>42.9775148630142</v>
      </c>
      <c r="N445" s="16">
        <v>1.9774786</v>
      </c>
      <c r="O445" s="20">
        <v>3.9622055</v>
      </c>
      <c r="P445" s="16">
        <v>2.0036654</v>
      </c>
      <c r="Q445" s="25">
        <f t="shared" si="23"/>
        <v>1.51966</v>
      </c>
      <c r="R445">
        <v>0.96910999999999992</v>
      </c>
      <c r="S445" s="24">
        <v>0.55054999999999998</v>
      </c>
      <c r="T445">
        <f>Q445/100</f>
        <v>1.5196599999999999E-2</v>
      </c>
      <c r="U445">
        <f>R445/100</f>
        <v>9.6910999999999994E-3</v>
      </c>
      <c r="V445">
        <f>S445/100</f>
        <v>5.5055E-3</v>
      </c>
      <c r="W445">
        <v>0.79908000000000001</v>
      </c>
      <c r="X445">
        <v>0.432</v>
      </c>
      <c r="Y445">
        <v>0.432</v>
      </c>
      <c r="Z445" s="5">
        <f t="shared" si="25"/>
        <v>43.2</v>
      </c>
    </row>
    <row r="446" spans="1:26" x14ac:dyDescent="0.25">
      <c r="A446" t="s">
        <v>24</v>
      </c>
      <c r="B446">
        <v>13</v>
      </c>
      <c r="C446">
        <v>1978</v>
      </c>
      <c r="D446" s="5">
        <v>33.6</v>
      </c>
      <c r="E446" s="5">
        <v>47.2</v>
      </c>
      <c r="F446" s="5">
        <f t="shared" si="24"/>
        <v>13.600000000000001</v>
      </c>
      <c r="G446" s="7">
        <v>1.1209401999999999</v>
      </c>
      <c r="H446" s="7">
        <v>7.2818932922559867</v>
      </c>
      <c r="I446" s="8">
        <v>24385.457734</v>
      </c>
      <c r="J446" s="12">
        <v>3.2401399999999998</v>
      </c>
      <c r="K446" s="7">
        <v>41.268188138924955</v>
      </c>
      <c r="L446" s="5">
        <v>0.594379663467407</v>
      </c>
      <c r="M446" s="5">
        <v>59.437966346740701</v>
      </c>
      <c r="Q446" s="25">
        <f t="shared" si="23"/>
        <v>0</v>
      </c>
      <c r="R446">
        <v>0</v>
      </c>
      <c r="S446" s="24">
        <v>0</v>
      </c>
      <c r="T446">
        <f>Q446/100</f>
        <v>0</v>
      </c>
      <c r="U446">
        <f>R446/100</f>
        <v>0</v>
      </c>
      <c r="V446">
        <f>S446/100</f>
        <v>0</v>
      </c>
    </row>
    <row r="447" spans="1:26" x14ac:dyDescent="0.25">
      <c r="A447" t="s">
        <v>24</v>
      </c>
      <c r="B447">
        <v>13</v>
      </c>
      <c r="C447">
        <v>1979</v>
      </c>
      <c r="D447" s="5">
        <v>33.200000000000003</v>
      </c>
      <c r="E447" s="5">
        <v>46.6</v>
      </c>
      <c r="F447" s="5">
        <f t="shared" si="24"/>
        <v>13.399999999999999</v>
      </c>
      <c r="G447" s="7">
        <v>1.1479858000000001</v>
      </c>
      <c r="H447" s="7">
        <v>7.7542197488846982</v>
      </c>
      <c r="I447" s="8">
        <v>25764.024973</v>
      </c>
      <c r="J447" s="12">
        <v>5.9591589999999997</v>
      </c>
      <c r="K447" s="7">
        <v>43.710419189084604</v>
      </c>
      <c r="L447" s="5">
        <v>0.594379663467407</v>
      </c>
      <c r="M447" s="5">
        <v>59.437966346740701</v>
      </c>
      <c r="N447" s="16">
        <v>1.96</v>
      </c>
      <c r="P447" s="16">
        <v>1.5</v>
      </c>
      <c r="Q447" s="25">
        <f t="shared" si="23"/>
        <v>0</v>
      </c>
      <c r="R447">
        <v>0</v>
      </c>
      <c r="S447" s="24">
        <v>0</v>
      </c>
      <c r="T447">
        <f>Q447/100</f>
        <v>0</v>
      </c>
      <c r="U447">
        <f>R447/100</f>
        <v>0</v>
      </c>
      <c r="V447">
        <f>S447/100</f>
        <v>0</v>
      </c>
    </row>
    <row r="448" spans="1:26" x14ac:dyDescent="0.25">
      <c r="A448" t="s">
        <v>24</v>
      </c>
      <c r="B448">
        <v>13</v>
      </c>
      <c r="C448">
        <v>1980</v>
      </c>
      <c r="D448" s="5">
        <v>32.5</v>
      </c>
      <c r="E448" s="5">
        <v>45.8</v>
      </c>
      <c r="F448" s="5">
        <f t="shared" si="24"/>
        <v>13.299999999999997</v>
      </c>
      <c r="G448" s="7">
        <v>1.2106417</v>
      </c>
      <c r="H448" s="7">
        <v>7.6555893985543477</v>
      </c>
      <c r="I448" s="8">
        <v>26592.866335999999</v>
      </c>
      <c r="J448" s="12">
        <v>3.4300160000000002</v>
      </c>
      <c r="K448" s="7">
        <v>42.972656318986942</v>
      </c>
      <c r="L448" s="5">
        <v>0.594379663467407</v>
      </c>
      <c r="M448" s="5">
        <v>59.437966346740701</v>
      </c>
      <c r="N448" s="16">
        <v>1.81</v>
      </c>
      <c r="P448" s="16">
        <v>1.46</v>
      </c>
      <c r="Q448" s="25">
        <f t="shared" si="23"/>
        <v>0</v>
      </c>
      <c r="R448">
        <v>0</v>
      </c>
      <c r="S448" s="24">
        <v>0</v>
      </c>
      <c r="T448">
        <f>Q448/100</f>
        <v>0</v>
      </c>
      <c r="U448">
        <f>R448/100</f>
        <v>0</v>
      </c>
      <c r="V448">
        <f>S448/100</f>
        <v>0</v>
      </c>
    </row>
    <row r="449" spans="1:23" x14ac:dyDescent="0.25">
      <c r="A449" t="s">
        <v>24</v>
      </c>
      <c r="B449">
        <v>13</v>
      </c>
      <c r="C449">
        <v>1981</v>
      </c>
      <c r="D449" s="5">
        <v>31.9</v>
      </c>
      <c r="E449" s="5">
        <v>45</v>
      </c>
      <c r="F449" s="5">
        <f t="shared" si="24"/>
        <v>13.100000000000001</v>
      </c>
      <c r="G449" s="7">
        <v>1.1796929999999999</v>
      </c>
      <c r="H449" s="7">
        <v>7.9940349767273711</v>
      </c>
      <c r="I449" s="8">
        <v>26781.114489</v>
      </c>
      <c r="J449" s="12">
        <v>0.84422799999999998</v>
      </c>
      <c r="K449" s="7">
        <v>45.282037998012889</v>
      </c>
      <c r="L449" s="5">
        <v>0.59895449876785301</v>
      </c>
      <c r="M449" s="5">
        <v>59.8954498767853</v>
      </c>
      <c r="N449" s="16">
        <v>1.9</v>
      </c>
      <c r="P449" s="16">
        <v>1.41</v>
      </c>
      <c r="Q449" s="25">
        <f t="shared" si="23"/>
        <v>0</v>
      </c>
      <c r="R449">
        <v>0</v>
      </c>
      <c r="S449" s="24">
        <v>0</v>
      </c>
      <c r="T449">
        <f>Q449/100</f>
        <v>0</v>
      </c>
      <c r="U449">
        <f>R449/100</f>
        <v>0</v>
      </c>
      <c r="V449">
        <f>S449/100</f>
        <v>0</v>
      </c>
    </row>
    <row r="450" spans="1:23" x14ac:dyDescent="0.25">
      <c r="A450" t="s">
        <v>24</v>
      </c>
      <c r="B450">
        <v>13</v>
      </c>
      <c r="C450">
        <v>1982</v>
      </c>
      <c r="D450" s="5">
        <v>31.4</v>
      </c>
      <c r="E450" s="5">
        <v>44.3</v>
      </c>
      <c r="F450" s="5">
        <f t="shared" si="24"/>
        <v>12.899999999999999</v>
      </c>
      <c r="G450" s="7">
        <v>1.1648041</v>
      </c>
      <c r="H450" s="7">
        <v>8.6543654365436531</v>
      </c>
      <c r="I450" s="8">
        <v>26876.087543000001</v>
      </c>
      <c r="J450" s="12">
        <v>0.41358600000000001</v>
      </c>
      <c r="K450" s="7">
        <v>43.508289093558311</v>
      </c>
      <c r="L450" s="5">
        <v>0.59860765933990501</v>
      </c>
      <c r="M450" s="5">
        <v>59.8607659339905</v>
      </c>
      <c r="N450" s="16">
        <v>1.61</v>
      </c>
      <c r="P450" s="16">
        <v>1.5</v>
      </c>
      <c r="Q450" s="25">
        <f t="shared" si="23"/>
        <v>0</v>
      </c>
      <c r="R450">
        <v>0</v>
      </c>
      <c r="S450" s="24">
        <v>0</v>
      </c>
      <c r="T450">
        <f>Q450/100</f>
        <v>0</v>
      </c>
      <c r="U450">
        <f>R450/100</f>
        <v>0</v>
      </c>
      <c r="V450">
        <f>S450/100</f>
        <v>0</v>
      </c>
    </row>
    <row r="451" spans="1:23" x14ac:dyDescent="0.25">
      <c r="A451" t="s">
        <v>24</v>
      </c>
      <c r="B451">
        <v>13</v>
      </c>
      <c r="C451">
        <v>1983</v>
      </c>
      <c r="D451" s="5">
        <v>31.2</v>
      </c>
      <c r="E451" s="5">
        <v>43.9</v>
      </c>
      <c r="F451" s="5">
        <f t="shared" si="24"/>
        <v>12.7</v>
      </c>
      <c r="G451" s="7">
        <v>1.1464658999999999</v>
      </c>
      <c r="H451" s="7">
        <v>9.515340151178302</v>
      </c>
      <c r="I451" s="8">
        <v>27180.421292999999</v>
      </c>
      <c r="J451" s="12">
        <v>1.169203</v>
      </c>
      <c r="K451" s="7">
        <v>40.18969388100345</v>
      </c>
      <c r="L451" s="5">
        <v>0.59828066825866699</v>
      </c>
      <c r="M451" s="5">
        <v>59.828066825866699</v>
      </c>
      <c r="N451" s="16">
        <v>1.7</v>
      </c>
      <c r="P451" s="16">
        <v>1.47</v>
      </c>
      <c r="Q451" s="25">
        <f t="shared" ref="Q451:Q514" si="26">R451+S451</f>
        <v>0</v>
      </c>
      <c r="R451">
        <v>0</v>
      </c>
      <c r="S451" s="24">
        <v>0</v>
      </c>
      <c r="T451">
        <f>Q451/100</f>
        <v>0</v>
      </c>
      <c r="U451">
        <f>R451/100</f>
        <v>0</v>
      </c>
      <c r="V451">
        <f>S451/100</f>
        <v>0</v>
      </c>
    </row>
    <row r="452" spans="1:23" x14ac:dyDescent="0.25">
      <c r="A452" t="s">
        <v>24</v>
      </c>
      <c r="B452">
        <v>13</v>
      </c>
      <c r="C452">
        <v>1984</v>
      </c>
      <c r="D452" s="5">
        <v>31.2</v>
      </c>
      <c r="E452" s="5">
        <v>43.6</v>
      </c>
      <c r="F452" s="5">
        <f t="shared" si="24"/>
        <v>12.400000000000002</v>
      </c>
      <c r="G452" s="7">
        <v>1.1079448999999999</v>
      </c>
      <c r="H452" s="7">
        <v>10.139952468972801</v>
      </c>
      <c r="I452" s="8">
        <v>28050.973032999998</v>
      </c>
      <c r="J452" s="12">
        <v>3.2258520000000002</v>
      </c>
      <c r="K452" s="7">
        <v>42.4356673673919</v>
      </c>
      <c r="L452" s="5">
        <v>0.57838320732116699</v>
      </c>
      <c r="M452" s="5">
        <v>57.838320732116699</v>
      </c>
      <c r="N452" s="16">
        <v>1.67</v>
      </c>
      <c r="P452" s="16">
        <v>1.5</v>
      </c>
      <c r="Q452" s="25">
        <f t="shared" si="26"/>
        <v>0</v>
      </c>
      <c r="R452">
        <v>0</v>
      </c>
      <c r="S452" s="24">
        <v>0</v>
      </c>
      <c r="T452">
        <f>Q452/100</f>
        <v>0</v>
      </c>
      <c r="U452">
        <f>R452/100</f>
        <v>0</v>
      </c>
      <c r="V452">
        <f>S452/100</f>
        <v>0</v>
      </c>
    </row>
    <row r="453" spans="1:23" x14ac:dyDescent="0.25">
      <c r="A453" t="s">
        <v>24</v>
      </c>
      <c r="B453">
        <v>13</v>
      </c>
      <c r="C453">
        <v>1985</v>
      </c>
      <c r="D453" s="5">
        <v>32.6</v>
      </c>
      <c r="E453" s="5">
        <v>44</v>
      </c>
      <c r="F453" s="5">
        <f t="shared" si="24"/>
        <v>11.399999999999999</v>
      </c>
      <c r="G453" s="7">
        <v>1.09205993</v>
      </c>
      <c r="H453" s="7">
        <v>10.406290956749672</v>
      </c>
      <c r="I453" s="8">
        <v>28827.507020000001</v>
      </c>
      <c r="J453" s="12">
        <v>2.7980860000000001</v>
      </c>
      <c r="K453" s="7">
        <v>42.637155021165363</v>
      </c>
      <c r="L453" s="5">
        <v>0.57662838697433505</v>
      </c>
      <c r="M453" s="5">
        <v>57.662838697433507</v>
      </c>
      <c r="N453" s="16">
        <v>1.71</v>
      </c>
      <c r="P453" s="16">
        <v>1.4650000000000001</v>
      </c>
      <c r="Q453" s="25">
        <f t="shared" si="26"/>
        <v>0</v>
      </c>
      <c r="R453">
        <v>0</v>
      </c>
      <c r="S453" s="24">
        <v>0</v>
      </c>
      <c r="T453">
        <f>Q453/100</f>
        <v>0</v>
      </c>
      <c r="U453">
        <f>R453/100</f>
        <v>0</v>
      </c>
      <c r="V453">
        <f>S453/100</f>
        <v>0</v>
      </c>
    </row>
    <row r="454" spans="1:23" x14ac:dyDescent="0.25">
      <c r="A454" t="s">
        <v>24</v>
      </c>
      <c r="B454">
        <v>13</v>
      </c>
      <c r="C454">
        <v>1986</v>
      </c>
      <c r="D454" s="5">
        <v>32.5</v>
      </c>
      <c r="E454" s="5">
        <v>43.9</v>
      </c>
      <c r="F454" s="5">
        <f t="shared" si="24"/>
        <v>11.399999999999999</v>
      </c>
      <c r="G454" s="7">
        <v>1.05823544</v>
      </c>
      <c r="H454" s="7">
        <v>11.237890204520991</v>
      </c>
      <c r="I454" s="8">
        <v>29650.34146</v>
      </c>
      <c r="J454" s="12">
        <v>2.859972</v>
      </c>
      <c r="K454" s="7">
        <v>36.163346911877802</v>
      </c>
      <c r="L454" s="5">
        <v>0.56529903411865201</v>
      </c>
      <c r="M454" s="5">
        <v>56.529903411865199</v>
      </c>
      <c r="N454" s="16">
        <v>1.4634146341463401</v>
      </c>
      <c r="O454" s="20">
        <v>2.2222222</v>
      </c>
      <c r="P454" s="16">
        <v>1.5166667</v>
      </c>
      <c r="Q454" s="25">
        <f t="shared" si="26"/>
        <v>0</v>
      </c>
      <c r="R454">
        <v>0</v>
      </c>
      <c r="S454" s="24">
        <v>0</v>
      </c>
      <c r="T454">
        <f>Q454/100</f>
        <v>0</v>
      </c>
      <c r="U454">
        <f>R454/100</f>
        <v>0</v>
      </c>
      <c r="V454">
        <f>S454/100</f>
        <v>0</v>
      </c>
      <c r="W454">
        <v>0.79625000000000001</v>
      </c>
    </row>
    <row r="455" spans="1:23" x14ac:dyDescent="0.25">
      <c r="A455" t="s">
        <v>24</v>
      </c>
      <c r="B455">
        <v>13</v>
      </c>
      <c r="C455">
        <v>1987</v>
      </c>
      <c r="D455" s="5">
        <v>33.1</v>
      </c>
      <c r="E455" s="5">
        <v>44.4</v>
      </c>
      <c r="F455" s="5">
        <f t="shared" si="24"/>
        <v>11.299999999999997</v>
      </c>
      <c r="G455" s="7">
        <v>1.04747284</v>
      </c>
      <c r="H455" s="7">
        <v>12.09429449948753</v>
      </c>
      <c r="I455" s="8">
        <v>30593.687485999999</v>
      </c>
      <c r="J455" s="12">
        <v>3.191961</v>
      </c>
      <c r="K455" s="7">
        <v>35.562608674537969</v>
      </c>
      <c r="L455" s="5">
        <v>0.56346178054809604</v>
      </c>
      <c r="M455" s="5">
        <v>56.346178054809606</v>
      </c>
      <c r="N455" s="16">
        <v>1.4545454545454499</v>
      </c>
      <c r="O455" s="20">
        <v>2.3529412000000001</v>
      </c>
      <c r="P455" s="16">
        <v>1.578125</v>
      </c>
      <c r="Q455" s="25">
        <f t="shared" si="26"/>
        <v>0</v>
      </c>
      <c r="R455">
        <v>0</v>
      </c>
      <c r="S455" s="24">
        <v>0</v>
      </c>
      <c r="T455">
        <f>Q455/100</f>
        <v>0</v>
      </c>
      <c r="U455">
        <f>R455/100</f>
        <v>0</v>
      </c>
      <c r="V455">
        <f>S455/100</f>
        <v>0</v>
      </c>
      <c r="W455">
        <v>0.79969999999999997</v>
      </c>
    </row>
    <row r="456" spans="1:23" x14ac:dyDescent="0.25">
      <c r="A456" t="s">
        <v>24</v>
      </c>
      <c r="B456">
        <v>13</v>
      </c>
      <c r="C456">
        <v>1988</v>
      </c>
      <c r="D456" s="5">
        <v>33.5</v>
      </c>
      <c r="E456" s="5">
        <v>44.6</v>
      </c>
      <c r="F456" s="5">
        <f t="shared" si="24"/>
        <v>11.100000000000001</v>
      </c>
      <c r="G456" s="7">
        <v>1.05058249</v>
      </c>
      <c r="H456" s="7">
        <v>12.107907290919069</v>
      </c>
      <c r="I456" s="8">
        <v>31861.478568999999</v>
      </c>
      <c r="J456" s="12">
        <v>4.1943770000000002</v>
      </c>
      <c r="K456" s="7">
        <v>35.111101571721598</v>
      </c>
      <c r="L456" s="5">
        <v>0.56056445837020896</v>
      </c>
      <c r="M456" s="5">
        <v>56.056445837020895</v>
      </c>
      <c r="N456" s="16">
        <v>1.4565217391304299</v>
      </c>
      <c r="O456" s="20">
        <v>2.2598039499999998</v>
      </c>
      <c r="P456" s="16">
        <v>1.6119403000000001</v>
      </c>
      <c r="Q456" s="25">
        <f t="shared" si="26"/>
        <v>0</v>
      </c>
      <c r="R456">
        <v>0</v>
      </c>
      <c r="S456" s="24">
        <v>0</v>
      </c>
      <c r="T456">
        <f>Q456/100</f>
        <v>0</v>
      </c>
      <c r="U456">
        <f>R456/100</f>
        <v>0</v>
      </c>
      <c r="V456">
        <f>S456/100</f>
        <v>0</v>
      </c>
    </row>
    <row r="457" spans="1:23" x14ac:dyDescent="0.25">
      <c r="A457" t="s">
        <v>24</v>
      </c>
      <c r="B457">
        <v>13</v>
      </c>
      <c r="C457">
        <v>1989</v>
      </c>
      <c r="D457" s="5">
        <v>32.1</v>
      </c>
      <c r="E457" s="5">
        <v>44.1</v>
      </c>
      <c r="F457" s="5">
        <f t="shared" si="24"/>
        <v>12</v>
      </c>
      <c r="G457" s="7">
        <v>1.0625983699999999</v>
      </c>
      <c r="H457" s="7">
        <v>12.09704641350211</v>
      </c>
      <c r="I457" s="8">
        <v>32916.364092000003</v>
      </c>
      <c r="J457" s="12">
        <v>3.3883839999999998</v>
      </c>
      <c r="K457" s="7">
        <v>37.052769380147772</v>
      </c>
      <c r="L457" s="5">
        <v>0.56002587080001798</v>
      </c>
      <c r="M457" s="5">
        <v>56.002587080001796</v>
      </c>
      <c r="N457" s="16">
        <v>1.3846153846153799</v>
      </c>
      <c r="O457" s="20">
        <v>2.1666666999999999</v>
      </c>
      <c r="P457" s="16">
        <v>1.6388889</v>
      </c>
      <c r="Q457" s="25">
        <f t="shared" si="26"/>
        <v>0</v>
      </c>
      <c r="R457">
        <v>0</v>
      </c>
      <c r="S457" s="24">
        <v>0</v>
      </c>
      <c r="T457">
        <f>Q457/100</f>
        <v>0</v>
      </c>
      <c r="U457">
        <f>R457/100</f>
        <v>0</v>
      </c>
      <c r="V457">
        <f>S457/100</f>
        <v>0</v>
      </c>
      <c r="W457">
        <v>0.78900999999999999</v>
      </c>
    </row>
    <row r="458" spans="1:23" x14ac:dyDescent="0.25">
      <c r="A458" t="s">
        <v>24</v>
      </c>
      <c r="B458">
        <v>13</v>
      </c>
      <c r="C458">
        <v>1990</v>
      </c>
      <c r="D458" s="5">
        <v>31.7</v>
      </c>
      <c r="E458" s="5">
        <v>44.2</v>
      </c>
      <c r="F458" s="5">
        <f t="shared" si="24"/>
        <v>12.500000000000004</v>
      </c>
      <c r="G458" s="7">
        <v>1.0645660800000001</v>
      </c>
      <c r="H458" s="7">
        <v>11.478761578903447</v>
      </c>
      <c r="I458" s="8">
        <v>33541.954672</v>
      </c>
      <c r="J458" s="12">
        <v>1.9857750000000001</v>
      </c>
      <c r="K458" s="7">
        <v>36.321749399442979</v>
      </c>
      <c r="L458" s="5">
        <v>0.57002264261245705</v>
      </c>
      <c r="M458" s="5">
        <v>57.002264261245706</v>
      </c>
      <c r="N458" s="16">
        <v>1.4</v>
      </c>
      <c r="O458" s="20">
        <v>2.1987179499999998</v>
      </c>
      <c r="P458" s="16">
        <v>1.6753247</v>
      </c>
      <c r="Q458" s="25">
        <f t="shared" si="26"/>
        <v>0</v>
      </c>
      <c r="R458">
        <v>0</v>
      </c>
      <c r="S458" s="24">
        <v>0</v>
      </c>
      <c r="T458">
        <f>Q458/100</f>
        <v>0</v>
      </c>
      <c r="U458">
        <f>R458/100</f>
        <v>0</v>
      </c>
      <c r="V458">
        <f>S458/100</f>
        <v>0</v>
      </c>
    </row>
    <row r="459" spans="1:23" x14ac:dyDescent="0.25">
      <c r="A459" t="s">
        <v>24</v>
      </c>
      <c r="B459">
        <v>13</v>
      </c>
      <c r="C459">
        <v>1991</v>
      </c>
      <c r="D459" s="5">
        <v>31.3</v>
      </c>
      <c r="E459" s="5">
        <v>44.4</v>
      </c>
      <c r="F459" s="5">
        <f t="shared" si="24"/>
        <v>13.099999999999998</v>
      </c>
      <c r="G459" s="7">
        <v>1.0625</v>
      </c>
      <c r="H459" s="7">
        <v>11.025225449860782</v>
      </c>
      <c r="I459" s="8">
        <v>34024.207311999999</v>
      </c>
      <c r="J459" s="12">
        <v>1.538448</v>
      </c>
      <c r="K459" s="7">
        <v>33.878437296718687</v>
      </c>
      <c r="L459" s="5">
        <v>0.57619446516036998</v>
      </c>
      <c r="M459" s="5">
        <v>57.619446516037002</v>
      </c>
      <c r="N459" s="16">
        <v>1.4166666666666601</v>
      </c>
      <c r="O459" s="20">
        <v>2.2307692000000001</v>
      </c>
      <c r="P459" s="16">
        <v>1.6470587999999999</v>
      </c>
      <c r="Q459" s="25">
        <f t="shared" si="26"/>
        <v>2.6828799999999999</v>
      </c>
      <c r="R459">
        <v>0.92025000000000001</v>
      </c>
      <c r="S459" s="24">
        <v>1.7626299999999999</v>
      </c>
      <c r="T459">
        <f>Q459/100</f>
        <v>2.68288E-2</v>
      </c>
      <c r="U459">
        <f>R459/100</f>
        <v>9.2025000000000006E-3</v>
      </c>
      <c r="V459">
        <f>S459/100</f>
        <v>1.7626299999999998E-2</v>
      </c>
      <c r="W459">
        <v>0.78464</v>
      </c>
    </row>
    <row r="460" spans="1:23" x14ac:dyDescent="0.25">
      <c r="A460" t="s">
        <v>24</v>
      </c>
      <c r="B460">
        <v>13</v>
      </c>
      <c r="C460">
        <v>1992</v>
      </c>
      <c r="D460" s="5">
        <v>32.1</v>
      </c>
      <c r="E460" s="5">
        <v>45.3</v>
      </c>
      <c r="F460" s="5">
        <f t="shared" si="24"/>
        <v>13.199999999999996</v>
      </c>
      <c r="G460" s="7">
        <v>1.05270588</v>
      </c>
      <c r="H460" s="7">
        <v>10.649023314429741</v>
      </c>
      <c r="I460" s="8">
        <v>34295.015531999998</v>
      </c>
      <c r="J460" s="12">
        <v>0.83427499999999999</v>
      </c>
      <c r="K460" s="7">
        <v>34.913711624832835</v>
      </c>
      <c r="L460" s="5">
        <v>0.57364350557327304</v>
      </c>
      <c r="M460" s="5">
        <v>57.364350557327306</v>
      </c>
      <c r="N460" s="16">
        <v>1.4126984126984099</v>
      </c>
      <c r="O460" s="20">
        <v>2.3296703000000001</v>
      </c>
      <c r="P460" s="16">
        <v>1.6853933000000001</v>
      </c>
      <c r="Q460" s="25">
        <f t="shared" si="26"/>
        <v>3.07402</v>
      </c>
      <c r="R460">
        <v>1.6203699999999999</v>
      </c>
      <c r="S460" s="24">
        <v>1.4536500000000001</v>
      </c>
      <c r="T460">
        <f>Q460/100</f>
        <v>3.0740199999999999E-2</v>
      </c>
      <c r="U460">
        <f>R460/100</f>
        <v>1.6203699999999998E-2</v>
      </c>
      <c r="V460">
        <f>S460/100</f>
        <v>1.4536500000000001E-2</v>
      </c>
    </row>
    <row r="461" spans="1:23" x14ac:dyDescent="0.25">
      <c r="A461" t="s">
        <v>24</v>
      </c>
      <c r="B461">
        <v>13</v>
      </c>
      <c r="C461">
        <v>1993</v>
      </c>
      <c r="D461" s="5">
        <v>32.9</v>
      </c>
      <c r="E461" s="5">
        <v>46.3</v>
      </c>
      <c r="F461" s="5">
        <f t="shared" si="24"/>
        <v>13.399999999999999</v>
      </c>
      <c r="G461" s="7">
        <v>1.0462673199999999</v>
      </c>
      <c r="H461" s="7">
        <v>10.170190589570815</v>
      </c>
      <c r="I461" s="8">
        <v>33981.784608000002</v>
      </c>
      <c r="J461" s="12">
        <v>-0.85280599999999995</v>
      </c>
      <c r="K461" s="7">
        <v>37.759229199436973</v>
      </c>
      <c r="L461" s="5">
        <v>0.56170445680618297</v>
      </c>
      <c r="M461" s="5">
        <v>56.1704456806183</v>
      </c>
      <c r="N461" s="16">
        <v>1.4090909090909001</v>
      </c>
      <c r="O461" s="20">
        <v>2.4285714</v>
      </c>
      <c r="P461" s="16">
        <v>1.6666666999999999</v>
      </c>
      <c r="Q461" s="25">
        <f t="shared" si="26"/>
        <v>4.2679599999999995</v>
      </c>
      <c r="R461">
        <v>2.9170099999999994</v>
      </c>
      <c r="S461" s="24">
        <v>1.3509500000000001</v>
      </c>
      <c r="T461">
        <f>Q461/100</f>
        <v>4.2679599999999998E-2</v>
      </c>
      <c r="U461">
        <f>R461/100</f>
        <v>2.9170099999999994E-2</v>
      </c>
      <c r="V461">
        <f>S461/100</f>
        <v>1.3509500000000001E-2</v>
      </c>
      <c r="W461">
        <v>0.80874000000000001</v>
      </c>
    </row>
    <row r="462" spans="1:23" x14ac:dyDescent="0.25">
      <c r="A462" t="s">
        <v>24</v>
      </c>
      <c r="B462">
        <v>13</v>
      </c>
      <c r="C462">
        <v>1994</v>
      </c>
      <c r="D462" s="5">
        <v>33.1</v>
      </c>
      <c r="E462" s="5">
        <v>46.7</v>
      </c>
      <c r="F462" s="5">
        <f t="shared" si="24"/>
        <v>13.600000000000001</v>
      </c>
      <c r="G462" s="7">
        <v>1.04051841</v>
      </c>
      <c r="H462" s="7">
        <v>11.155190092460582</v>
      </c>
      <c r="I462" s="8">
        <v>34705.657020999999</v>
      </c>
      <c r="J462" s="12">
        <v>2.151024</v>
      </c>
      <c r="K462" s="7">
        <v>40.455028834184517</v>
      </c>
      <c r="L462" s="5">
        <v>0.54326409101486195</v>
      </c>
      <c r="M462" s="5">
        <v>54.326409101486192</v>
      </c>
      <c r="N462" s="16">
        <v>1.4057971014492701</v>
      </c>
      <c r="O462" s="20">
        <v>2.3809523499999998</v>
      </c>
      <c r="P462" s="16">
        <v>1.6597938000000001</v>
      </c>
      <c r="Q462" s="25">
        <f t="shared" si="26"/>
        <v>1.1179299999999999</v>
      </c>
      <c r="R462">
        <v>1.5388499999999998</v>
      </c>
      <c r="S462" s="24">
        <v>-0.42092000000000002</v>
      </c>
      <c r="T462">
        <f>Q462/100</f>
        <v>1.1179299999999998E-2</v>
      </c>
      <c r="U462">
        <f>R462/100</f>
        <v>1.5388499999999998E-2</v>
      </c>
      <c r="V462">
        <f>S462/100</f>
        <v>-4.2091999999999997E-3</v>
      </c>
    </row>
    <row r="463" spans="1:23" x14ac:dyDescent="0.25">
      <c r="A463" t="s">
        <v>24</v>
      </c>
      <c r="B463">
        <v>13</v>
      </c>
      <c r="C463">
        <v>1995</v>
      </c>
      <c r="D463" s="5">
        <v>33.200000000000003</v>
      </c>
      <c r="E463" s="5">
        <v>47.1</v>
      </c>
      <c r="F463" s="5">
        <f t="shared" si="24"/>
        <v>13.899999999999999</v>
      </c>
      <c r="G463" s="7">
        <v>1.0523542299999999</v>
      </c>
      <c r="H463" s="7">
        <v>11.729254904053306</v>
      </c>
      <c r="I463" s="8">
        <v>35706.987330000004</v>
      </c>
      <c r="J463" s="12">
        <v>2.8868369999999999</v>
      </c>
      <c r="K463" s="7">
        <v>45.684554166423816</v>
      </c>
      <c r="L463" s="5">
        <v>0.52540910243988004</v>
      </c>
      <c r="M463" s="5">
        <v>52.540910243988002</v>
      </c>
      <c r="N463" s="16">
        <v>1.3943661971830901</v>
      </c>
      <c r="O463" s="20">
        <v>2.3333333000000001</v>
      </c>
      <c r="P463" s="16">
        <v>1.7272727000000001</v>
      </c>
      <c r="Q463" s="25">
        <f t="shared" si="26"/>
        <v>3.9238400000000002</v>
      </c>
      <c r="R463">
        <v>1.6622600000000001</v>
      </c>
      <c r="S463" s="24">
        <v>2.2615800000000004</v>
      </c>
      <c r="T463">
        <f>Q463/100</f>
        <v>3.92384E-2</v>
      </c>
      <c r="U463">
        <f>R463/100</f>
        <v>1.6622600000000001E-2</v>
      </c>
      <c r="V463">
        <f>S463/100</f>
        <v>2.2615800000000005E-2</v>
      </c>
      <c r="W463">
        <v>0.80227999999999999</v>
      </c>
    </row>
    <row r="464" spans="1:23" x14ac:dyDescent="0.25">
      <c r="A464" t="s">
        <v>24</v>
      </c>
      <c r="B464">
        <v>13</v>
      </c>
      <c r="C464">
        <v>1996</v>
      </c>
      <c r="D464" s="5">
        <v>33.200000000000003</v>
      </c>
      <c r="E464" s="5">
        <v>47.3</v>
      </c>
      <c r="F464" s="5">
        <f t="shared" si="24"/>
        <v>14.099999999999994</v>
      </c>
      <c r="G464" s="7">
        <v>1.0400697999999999</v>
      </c>
      <c r="H464" s="7">
        <v>11.738286607172878</v>
      </c>
      <c r="I464" s="8">
        <v>36149.143097</v>
      </c>
      <c r="J464" s="12">
        <v>1.266785</v>
      </c>
      <c r="K464" s="7">
        <v>42.87869833489296</v>
      </c>
      <c r="L464" s="5">
        <v>0.52741187810897805</v>
      </c>
      <c r="M464" s="5">
        <v>52.741187810897806</v>
      </c>
      <c r="N464" s="16">
        <v>1.3783783783783701</v>
      </c>
      <c r="O464" s="20">
        <v>2.3636363333333299</v>
      </c>
      <c r="P464" s="16">
        <v>1.7352941</v>
      </c>
      <c r="Q464" s="25">
        <f t="shared" si="26"/>
        <v>1.08117</v>
      </c>
      <c r="R464">
        <v>1.1194999999999999</v>
      </c>
      <c r="S464" s="24">
        <v>-3.8329999999999975E-2</v>
      </c>
      <c r="T464">
        <f>Q464/100</f>
        <v>1.08117E-2</v>
      </c>
      <c r="U464">
        <f>R464/100</f>
        <v>1.1195E-2</v>
      </c>
      <c r="V464">
        <f>S464/100</f>
        <v>-3.8329999999999978E-4</v>
      </c>
    </row>
    <row r="465" spans="1:23" x14ac:dyDescent="0.25">
      <c r="A465" t="s">
        <v>24</v>
      </c>
      <c r="B465">
        <v>13</v>
      </c>
      <c r="C465">
        <v>1997</v>
      </c>
      <c r="D465" s="5">
        <v>33.200000000000003</v>
      </c>
      <c r="E465" s="5">
        <v>47.5</v>
      </c>
      <c r="F465" s="5">
        <f t="shared" si="24"/>
        <v>14.299999999999997</v>
      </c>
      <c r="G465" s="7">
        <v>1.0204310599999999</v>
      </c>
      <c r="H465" s="7">
        <v>11.833406924884232</v>
      </c>
      <c r="I465" s="8">
        <v>36791.273029000004</v>
      </c>
      <c r="J465" s="12">
        <v>1.830212</v>
      </c>
      <c r="K465" s="7">
        <v>44.588505976936297</v>
      </c>
      <c r="L465" s="5">
        <v>0.53324389457702603</v>
      </c>
      <c r="M465" s="5">
        <v>53.324389457702601</v>
      </c>
      <c r="N465" s="16">
        <v>1.4467649391891799</v>
      </c>
      <c r="O465" s="20">
        <v>2.3939393666666602</v>
      </c>
      <c r="P465" s="16">
        <v>1.6676470588235199</v>
      </c>
      <c r="Q465" s="25">
        <f t="shared" si="26"/>
        <v>1.7731699999999999</v>
      </c>
      <c r="R465">
        <v>0.90098</v>
      </c>
      <c r="S465" s="24">
        <v>0.87219000000000002</v>
      </c>
      <c r="T465">
        <f>Q465/100</f>
        <v>1.77317E-2</v>
      </c>
      <c r="U465">
        <f>R465/100</f>
        <v>9.0098000000000001E-3</v>
      </c>
      <c r="V465">
        <f>S465/100</f>
        <v>8.7218999999999994E-3</v>
      </c>
    </row>
    <row r="466" spans="1:23" x14ac:dyDescent="0.25">
      <c r="A466" t="s">
        <v>24</v>
      </c>
      <c r="B466">
        <v>13</v>
      </c>
      <c r="C466">
        <v>1998</v>
      </c>
      <c r="D466" s="5">
        <v>33.4</v>
      </c>
      <c r="E466" s="5">
        <v>47.7</v>
      </c>
      <c r="F466" s="5">
        <f t="shared" si="24"/>
        <v>14.300000000000004</v>
      </c>
      <c r="G466" s="7">
        <v>1.0195508799999999</v>
      </c>
      <c r="H466" s="7">
        <v>11.830767636825158</v>
      </c>
      <c r="I466" s="8">
        <v>37446.692326999997</v>
      </c>
      <c r="J466" s="12">
        <v>1.8106150000000001</v>
      </c>
      <c r="K466" s="7">
        <v>45.092738230931893</v>
      </c>
      <c r="L466" s="5">
        <v>0.50802224874496504</v>
      </c>
      <c r="M466" s="5">
        <v>50.802224874496503</v>
      </c>
      <c r="N466" s="16">
        <v>1.5151515</v>
      </c>
      <c r="O466" s="20">
        <v>2.4242423999999998</v>
      </c>
      <c r="P466" s="16">
        <v>1.6</v>
      </c>
      <c r="Q466" s="25">
        <f t="shared" si="26"/>
        <v>0.61380999999999986</v>
      </c>
      <c r="R466">
        <v>0.56694999999999995</v>
      </c>
      <c r="S466" s="24">
        <v>4.6859999999999902E-2</v>
      </c>
      <c r="T466">
        <f>Q466/100</f>
        <v>6.1380999999999988E-3</v>
      </c>
      <c r="U466">
        <f>R466/100</f>
        <v>5.6694999999999992E-3</v>
      </c>
      <c r="V466">
        <f>S466/100</f>
        <v>4.6859999999999903E-4</v>
      </c>
      <c r="W466">
        <v>0.79374</v>
      </c>
    </row>
    <row r="467" spans="1:23" x14ac:dyDescent="0.25">
      <c r="A467" t="s">
        <v>24</v>
      </c>
      <c r="B467">
        <v>13</v>
      </c>
      <c r="C467">
        <v>1999</v>
      </c>
      <c r="D467" s="5">
        <v>33.200000000000003</v>
      </c>
      <c r="E467" s="5">
        <v>47.8</v>
      </c>
      <c r="F467" s="5">
        <f t="shared" si="24"/>
        <v>14.599999999999994</v>
      </c>
      <c r="G467" s="7">
        <v>1.0166345800000001</v>
      </c>
      <c r="H467" s="7">
        <v>11.419041908473778</v>
      </c>
      <c r="I467" s="8">
        <v>38049.054771000003</v>
      </c>
      <c r="J467" s="12">
        <v>1.6257280000000001</v>
      </c>
      <c r="K467" s="7">
        <v>44.620790801510786</v>
      </c>
      <c r="L467" s="5">
        <v>0.51143050193786599</v>
      </c>
      <c r="M467" s="5">
        <v>51.1430501937866</v>
      </c>
      <c r="N467" s="16">
        <v>1.47979795</v>
      </c>
      <c r="O467" s="20">
        <v>2.3232322999999999</v>
      </c>
      <c r="P467" s="16">
        <v>1.56923075</v>
      </c>
      <c r="Q467" s="25">
        <f t="shared" si="26"/>
        <v>0</v>
      </c>
      <c r="R467">
        <v>0</v>
      </c>
      <c r="S467" s="24">
        <v>0</v>
      </c>
      <c r="T467">
        <f>Q467/100</f>
        <v>0</v>
      </c>
      <c r="U467">
        <f>R467/100</f>
        <v>0</v>
      </c>
      <c r="V467">
        <f>S467/100</f>
        <v>0</v>
      </c>
    </row>
    <row r="468" spans="1:23" x14ac:dyDescent="0.25">
      <c r="A468" t="s">
        <v>24</v>
      </c>
      <c r="B468">
        <v>13</v>
      </c>
      <c r="C468">
        <v>2000</v>
      </c>
      <c r="D468" s="5">
        <v>33.4</v>
      </c>
      <c r="E468" s="5">
        <v>48</v>
      </c>
      <c r="F468" s="5">
        <f t="shared" si="24"/>
        <v>14.600000000000001</v>
      </c>
      <c r="G468" s="7">
        <v>1.0253768700000001</v>
      </c>
      <c r="H468" s="7">
        <v>10.57400434464704</v>
      </c>
      <c r="I468" s="8">
        <v>39472.062831000003</v>
      </c>
      <c r="J468" s="12">
        <v>3.7869549999999998</v>
      </c>
      <c r="K468" s="7">
        <v>50.40558982512384</v>
      </c>
      <c r="L468" s="5">
        <v>0.50219082832336404</v>
      </c>
      <c r="M468" s="5">
        <v>50.219082832336404</v>
      </c>
      <c r="N468" s="16">
        <v>1.4444444000000001</v>
      </c>
      <c r="O468" s="20">
        <v>2.2222222</v>
      </c>
      <c r="P468" s="16">
        <v>1.5384614999999999</v>
      </c>
      <c r="Q468" s="25">
        <f t="shared" si="26"/>
        <v>0</v>
      </c>
      <c r="R468">
        <v>0</v>
      </c>
      <c r="S468" s="24">
        <v>0</v>
      </c>
      <c r="T468">
        <f>Q468/100</f>
        <v>0</v>
      </c>
      <c r="U468">
        <f>R468/100</f>
        <v>0</v>
      </c>
      <c r="V468">
        <f>S468/100</f>
        <v>0</v>
      </c>
      <c r="W468">
        <v>0.78261999999999998</v>
      </c>
    </row>
    <row r="469" spans="1:23" x14ac:dyDescent="0.25">
      <c r="A469" t="s">
        <v>24</v>
      </c>
      <c r="B469">
        <v>13</v>
      </c>
      <c r="C469">
        <v>2001</v>
      </c>
      <c r="D469" s="5">
        <v>33.4</v>
      </c>
      <c r="E469" s="5">
        <v>48.3</v>
      </c>
      <c r="F469" s="5">
        <f t="shared" si="24"/>
        <v>14.899999999999999</v>
      </c>
      <c r="G469" s="7">
        <v>1.0278516600000001</v>
      </c>
      <c r="H469" s="7">
        <v>9.5258127481995025</v>
      </c>
      <c r="I469" s="8">
        <v>40215.683598000003</v>
      </c>
      <c r="J469" s="12">
        <v>1.9513720000000001</v>
      </c>
      <c r="K469" s="7">
        <v>50.034804630925223</v>
      </c>
      <c r="L469" s="5">
        <v>0.498864024877548</v>
      </c>
      <c r="M469" s="5">
        <v>49.8864024877548</v>
      </c>
      <c r="N469" s="16">
        <v>1.5</v>
      </c>
      <c r="O469" s="20">
        <v>2.3888889</v>
      </c>
      <c r="P469" s="16">
        <v>1.5906593</v>
      </c>
      <c r="Q469" s="25">
        <f t="shared" si="26"/>
        <v>0</v>
      </c>
      <c r="R469">
        <v>0</v>
      </c>
      <c r="S469" s="24">
        <v>0</v>
      </c>
      <c r="T469">
        <f>Q469/100</f>
        <v>0</v>
      </c>
      <c r="U469">
        <f>R469/100</f>
        <v>0</v>
      </c>
      <c r="V469">
        <f>S469/100</f>
        <v>0</v>
      </c>
    </row>
    <row r="470" spans="1:23" x14ac:dyDescent="0.25">
      <c r="A470" t="s">
        <v>24</v>
      </c>
      <c r="B470">
        <v>13</v>
      </c>
      <c r="C470">
        <v>2002</v>
      </c>
      <c r="D470" s="5">
        <v>33.200000000000003</v>
      </c>
      <c r="E470" s="5">
        <v>48.5</v>
      </c>
      <c r="F470" s="5">
        <f t="shared" si="24"/>
        <v>15.299999999999997</v>
      </c>
      <c r="G470" s="7">
        <v>1.0246531999999999</v>
      </c>
      <c r="H470" s="7">
        <v>9.0096166516271836</v>
      </c>
      <c r="I470" s="8">
        <v>40240.124600000003</v>
      </c>
      <c r="J470" s="12">
        <v>0.25394299999999997</v>
      </c>
      <c r="K470" s="7">
        <v>48.0579242988141</v>
      </c>
      <c r="L470" s="5">
        <v>0.50221711397170998</v>
      </c>
      <c r="M470" s="5">
        <v>50.221711397170999</v>
      </c>
      <c r="N470" s="16">
        <v>1.5555555999999999</v>
      </c>
      <c r="O470" s="20">
        <v>2.5555555999999999</v>
      </c>
      <c r="P470" s="16">
        <v>1.6428571000000001</v>
      </c>
      <c r="Q470" s="25">
        <f t="shared" si="26"/>
        <v>0</v>
      </c>
      <c r="R470">
        <v>0</v>
      </c>
      <c r="S470" s="24">
        <v>0</v>
      </c>
      <c r="T470">
        <f>Q470/100</f>
        <v>0</v>
      </c>
      <c r="U470">
        <f>R470/100</f>
        <v>0</v>
      </c>
      <c r="V470">
        <f>S470/100</f>
        <v>0</v>
      </c>
    </row>
    <row r="471" spans="1:23" x14ac:dyDescent="0.25">
      <c r="A471" t="s">
        <v>24</v>
      </c>
      <c r="B471">
        <v>13</v>
      </c>
      <c r="C471">
        <v>2003</v>
      </c>
      <c r="D471" s="5">
        <v>33.200000000000003</v>
      </c>
      <c r="E471" s="5">
        <v>48.8</v>
      </c>
      <c r="F471" s="5">
        <f t="shared" si="24"/>
        <v>15.599999999999994</v>
      </c>
      <c r="G471" s="7">
        <v>1.0267255900000001</v>
      </c>
      <c r="H471" s="7">
        <v>8.67388974749732</v>
      </c>
      <c r="I471" s="8">
        <v>40078.700431999998</v>
      </c>
      <c r="J471" s="12">
        <v>0.138627</v>
      </c>
      <c r="K471" s="7">
        <v>46.148844778192078</v>
      </c>
      <c r="L471" s="5">
        <v>0.50489097833633401</v>
      </c>
      <c r="M471" s="5">
        <v>50.489097833633402</v>
      </c>
      <c r="N471" s="16">
        <v>1.5277778</v>
      </c>
      <c r="O471" s="20">
        <v>2.4777778000000001</v>
      </c>
      <c r="P471" s="16">
        <v>1.6214285500000001</v>
      </c>
      <c r="Q471" s="25">
        <f t="shared" si="26"/>
        <v>0</v>
      </c>
      <c r="R471">
        <v>0</v>
      </c>
      <c r="S471" s="24">
        <v>0</v>
      </c>
      <c r="T471">
        <f>Q471/100</f>
        <v>0</v>
      </c>
      <c r="U471">
        <f>R471/100</f>
        <v>0</v>
      </c>
      <c r="V471">
        <f>S471/100</f>
        <v>0</v>
      </c>
    </row>
    <row r="472" spans="1:23" x14ac:dyDescent="0.25">
      <c r="A472" t="s">
        <v>24</v>
      </c>
      <c r="B472">
        <v>13</v>
      </c>
      <c r="C472">
        <v>2004</v>
      </c>
      <c r="D472" s="5">
        <v>33.1</v>
      </c>
      <c r="E472" s="5">
        <v>49.1</v>
      </c>
      <c r="F472" s="5">
        <f t="shared" si="24"/>
        <v>16</v>
      </c>
      <c r="G472" s="7">
        <v>1.0220673600000001</v>
      </c>
      <c r="H472" s="7">
        <v>7.9983650484046889</v>
      </c>
      <c r="I472" s="8">
        <v>40347.700893000001</v>
      </c>
      <c r="J472" s="12">
        <v>1.423594</v>
      </c>
      <c r="K472" s="7">
        <v>47.430330388847082</v>
      </c>
      <c r="L472" s="5">
        <v>0.50328499078750599</v>
      </c>
      <c r="M472" s="5">
        <v>50.328499078750596</v>
      </c>
      <c r="N472" s="16">
        <v>1.5</v>
      </c>
      <c r="O472" s="20">
        <v>2.4</v>
      </c>
      <c r="P472" s="16">
        <v>1.6</v>
      </c>
      <c r="Q472" s="25">
        <f t="shared" si="26"/>
        <v>1.2466699999999999</v>
      </c>
      <c r="R472">
        <v>0.34489999999999998</v>
      </c>
      <c r="S472" s="24">
        <v>0.90176999999999996</v>
      </c>
      <c r="T472">
        <f>Q472/100</f>
        <v>1.2466699999999999E-2</v>
      </c>
      <c r="U472">
        <f>R472/100</f>
        <v>3.4489999999999998E-3</v>
      </c>
      <c r="V472">
        <f>S472/100</f>
        <v>9.0177E-3</v>
      </c>
      <c r="W472">
        <v>0.77215</v>
      </c>
    </row>
    <row r="473" spans="1:23" x14ac:dyDescent="0.25">
      <c r="A473" t="s">
        <v>24</v>
      </c>
      <c r="B473">
        <v>13</v>
      </c>
      <c r="C473">
        <v>2005</v>
      </c>
      <c r="D473" s="5">
        <v>32.9</v>
      </c>
      <c r="E473" s="5">
        <v>49.1</v>
      </c>
      <c r="F473" s="5">
        <f t="shared" si="24"/>
        <v>16.200000000000003</v>
      </c>
      <c r="G473" s="7">
        <v>1.01985294</v>
      </c>
      <c r="H473" s="7">
        <v>7.7304442645376543</v>
      </c>
      <c r="I473" s="8">
        <v>40440.961145000001</v>
      </c>
      <c r="J473" s="12">
        <v>0.81784900000000005</v>
      </c>
      <c r="K473" s="7">
        <v>49.301010762131824</v>
      </c>
      <c r="L473" s="5">
        <v>0.507152199745178</v>
      </c>
      <c r="M473" s="5">
        <v>50.715219974517801</v>
      </c>
      <c r="N473" s="16">
        <v>1.4768518500000001</v>
      </c>
      <c r="O473" s="20">
        <v>2.3574074</v>
      </c>
      <c r="P473" s="16">
        <v>1.59617835</v>
      </c>
      <c r="Q473" s="25">
        <f t="shared" si="26"/>
        <v>0.87192000000000003</v>
      </c>
      <c r="R473">
        <v>0.80852999999999997</v>
      </c>
      <c r="S473" s="24">
        <v>6.3390000000000002E-2</v>
      </c>
      <c r="T473">
        <f>Q473/100</f>
        <v>8.7191999999999999E-3</v>
      </c>
      <c r="U473">
        <f>R473/100</f>
        <v>8.0853000000000001E-3</v>
      </c>
      <c r="V473">
        <f>S473/100</f>
        <v>6.3390000000000007E-4</v>
      </c>
    </row>
    <row r="474" spans="1:23" x14ac:dyDescent="0.25">
      <c r="A474" t="s">
        <v>24</v>
      </c>
      <c r="B474">
        <v>13</v>
      </c>
      <c r="C474">
        <v>2006</v>
      </c>
      <c r="D474" s="5">
        <v>32.700000000000003</v>
      </c>
      <c r="E474" s="5">
        <v>49.1</v>
      </c>
      <c r="F474" s="5">
        <f t="shared" si="24"/>
        <v>16.399999999999999</v>
      </c>
      <c r="G474" s="7">
        <v>1.02090843</v>
      </c>
      <c r="H474" s="7">
        <v>6.7766685646636651</v>
      </c>
      <c r="I474" s="8">
        <v>41000.734260999998</v>
      </c>
      <c r="J474" s="12">
        <v>1.79064</v>
      </c>
      <c r="K474" s="7">
        <v>53.16817918462371</v>
      </c>
      <c r="L474" s="5">
        <v>0.51036411523819003</v>
      </c>
      <c r="M474" s="5">
        <v>51.036411523819005</v>
      </c>
      <c r="N474" s="16">
        <v>1.4537036999999999</v>
      </c>
      <c r="O474" s="20">
        <v>2.3148148000000002</v>
      </c>
      <c r="P474" s="16">
        <v>1.5923567000000001</v>
      </c>
      <c r="Q474" s="25">
        <f t="shared" si="26"/>
        <v>1.40733</v>
      </c>
      <c r="R474">
        <v>0.88412999999999997</v>
      </c>
      <c r="S474" s="24">
        <v>0.5232</v>
      </c>
      <c r="T474">
        <f>Q474/100</f>
        <v>1.40733E-2</v>
      </c>
      <c r="U474">
        <f>R474/100</f>
        <v>8.8412999999999999E-3</v>
      </c>
      <c r="V474">
        <f>S474/100</f>
        <v>5.2319999999999997E-3</v>
      </c>
    </row>
    <row r="475" spans="1:23" x14ac:dyDescent="0.25">
      <c r="A475" t="s">
        <v>24</v>
      </c>
      <c r="B475">
        <v>13</v>
      </c>
      <c r="C475">
        <v>2007</v>
      </c>
      <c r="D475" s="5">
        <v>32.5</v>
      </c>
      <c r="E475" s="5">
        <v>49</v>
      </c>
      <c r="F475" s="5">
        <f t="shared" si="24"/>
        <v>16.5</v>
      </c>
      <c r="G475" s="7">
        <v>1.0182973799999999</v>
      </c>
      <c r="H475" s="7">
        <v>6.0756346098145544</v>
      </c>
      <c r="I475" s="8">
        <v>41358.117660999997</v>
      </c>
      <c r="J475" s="12">
        <v>1.4870730000000001</v>
      </c>
      <c r="K475" s="7">
        <v>55.061455631697953</v>
      </c>
      <c r="L475" s="5">
        <v>0.50755149126052901</v>
      </c>
      <c r="M475" s="5">
        <v>50.755149126052899</v>
      </c>
      <c r="N475" s="16">
        <v>1.4541246000000001</v>
      </c>
      <c r="O475" s="20">
        <v>2.2937710500000001</v>
      </c>
      <c r="P475" s="16">
        <v>1.5774283499999999</v>
      </c>
      <c r="Q475" s="25">
        <f t="shared" si="26"/>
        <v>0.83764000000000016</v>
      </c>
      <c r="R475">
        <v>-0.36044999999999994</v>
      </c>
      <c r="S475" s="24">
        <v>1.1980900000000001</v>
      </c>
      <c r="T475">
        <f>Q475/100</f>
        <v>8.3764000000000009E-3</v>
      </c>
      <c r="U475">
        <f>R475/100</f>
        <v>-3.6044999999999992E-3</v>
      </c>
      <c r="V475">
        <f>S475/100</f>
        <v>1.1980900000000001E-2</v>
      </c>
    </row>
    <row r="476" spans="1:23" x14ac:dyDescent="0.25">
      <c r="A476" t="s">
        <v>24</v>
      </c>
      <c r="B476">
        <v>13</v>
      </c>
      <c r="C476">
        <v>2008</v>
      </c>
      <c r="D476" s="5">
        <v>32.6</v>
      </c>
      <c r="E476" s="5">
        <v>49</v>
      </c>
      <c r="F476" s="5">
        <f t="shared" si="24"/>
        <v>16.399999999999999</v>
      </c>
      <c r="G476" s="7">
        <v>1.0334783400000001</v>
      </c>
      <c r="H476" s="7">
        <v>6.7232301883255827</v>
      </c>
      <c r="I476" s="8">
        <v>40645.494095000002</v>
      </c>
      <c r="J476" s="12">
        <v>-0.96201300000000001</v>
      </c>
      <c r="K476" s="7">
        <v>54.492875798818766</v>
      </c>
      <c r="L476" s="5">
        <v>0.51400369405746504</v>
      </c>
      <c r="M476" s="5">
        <v>51.400369405746503</v>
      </c>
      <c r="N476" s="16">
        <v>1.4545455</v>
      </c>
      <c r="O476" s="20">
        <v>2.2727273000000001</v>
      </c>
      <c r="P476" s="16">
        <v>1.5625</v>
      </c>
      <c r="Q476" s="25">
        <f t="shared" si="26"/>
        <v>0</v>
      </c>
      <c r="R476">
        <v>0</v>
      </c>
      <c r="S476" s="24">
        <v>0</v>
      </c>
      <c r="T476">
        <f>Q476/100</f>
        <v>0</v>
      </c>
      <c r="U476">
        <f>R476/100</f>
        <v>0</v>
      </c>
      <c r="V476">
        <f>S476/100</f>
        <v>0</v>
      </c>
      <c r="W476">
        <v>0.76236999999999999</v>
      </c>
    </row>
    <row r="477" spans="1:23" x14ac:dyDescent="0.25">
      <c r="A477" t="s">
        <v>24</v>
      </c>
      <c r="B477">
        <v>13</v>
      </c>
      <c r="C477">
        <v>2009</v>
      </c>
      <c r="D477" s="5">
        <v>32.700000000000003</v>
      </c>
      <c r="E477" s="5">
        <v>49.3</v>
      </c>
      <c r="F477" s="5">
        <f t="shared" si="24"/>
        <v>16.599999999999994</v>
      </c>
      <c r="G477" s="7">
        <v>1.007747682</v>
      </c>
      <c r="H477" s="7">
        <v>7.7486661182659695</v>
      </c>
      <c r="I477" s="8">
        <v>38276.461934999999</v>
      </c>
      <c r="J477" s="12">
        <v>-5.2809369999999998</v>
      </c>
      <c r="K477" s="7">
        <v>45.418761787481664</v>
      </c>
      <c r="L477" s="5">
        <v>0.52898246049881004</v>
      </c>
      <c r="M477" s="5">
        <v>52.898246049881003</v>
      </c>
      <c r="N477" s="16">
        <v>1.4497547</v>
      </c>
      <c r="O477" s="20">
        <v>2.1988371</v>
      </c>
      <c r="P477" s="16">
        <v>1.5165441</v>
      </c>
      <c r="Q477" s="25">
        <f t="shared" si="26"/>
        <v>0</v>
      </c>
      <c r="R477">
        <v>0</v>
      </c>
      <c r="S477" s="24">
        <v>0</v>
      </c>
      <c r="T477">
        <f>Q477/100</f>
        <v>0</v>
      </c>
      <c r="U477">
        <f>R477/100</f>
        <v>0</v>
      </c>
      <c r="V477">
        <f>S477/100</f>
        <v>0</v>
      </c>
    </row>
    <row r="478" spans="1:23" x14ac:dyDescent="0.25">
      <c r="A478" t="s">
        <v>24</v>
      </c>
      <c r="B478">
        <v>13</v>
      </c>
      <c r="C478">
        <v>2010</v>
      </c>
      <c r="D478" s="5">
        <v>32.9</v>
      </c>
      <c r="E478" s="5">
        <v>49.7</v>
      </c>
      <c r="F478" s="5">
        <f t="shared" si="24"/>
        <v>16.800000000000004</v>
      </c>
      <c r="G478" s="7">
        <v>1.0152551599999999</v>
      </c>
      <c r="H478" s="7">
        <v>8.3627757878271982</v>
      </c>
      <c r="I478" s="8">
        <v>38760.496967999999</v>
      </c>
      <c r="J478" s="12">
        <v>1.7132959999999999</v>
      </c>
      <c r="K478" s="7">
        <v>52.006188374281948</v>
      </c>
      <c r="L478" s="5">
        <v>0.52474325895309404</v>
      </c>
      <c r="M478" s="5">
        <v>52.474325895309406</v>
      </c>
      <c r="N478" s="16">
        <v>1.4449639000000001</v>
      </c>
      <c r="O478" s="20">
        <v>2.1249468999999999</v>
      </c>
      <c r="P478" s="16">
        <v>1.4705881999999999</v>
      </c>
      <c r="Q478" s="25">
        <f t="shared" si="26"/>
        <v>0.40817999999999999</v>
      </c>
      <c r="R478">
        <v>2.4640000000000002E-2</v>
      </c>
      <c r="S478" s="24">
        <v>0.38353999999999999</v>
      </c>
      <c r="T478">
        <f>Q478/100</f>
        <v>4.0818E-3</v>
      </c>
      <c r="U478">
        <f>R478/100</f>
        <v>2.4640000000000003E-4</v>
      </c>
      <c r="V478">
        <f>S478/100</f>
        <v>3.8354000000000001E-3</v>
      </c>
      <c r="W478">
        <v>0.76600000000000001</v>
      </c>
    </row>
    <row r="479" spans="1:23" x14ac:dyDescent="0.25">
      <c r="A479" t="s">
        <v>24</v>
      </c>
      <c r="B479">
        <v>13</v>
      </c>
      <c r="C479">
        <v>2011</v>
      </c>
      <c r="D479" s="5">
        <v>33.299999999999997</v>
      </c>
      <c r="E479" s="5">
        <v>50.4</v>
      </c>
      <c r="F479" s="5">
        <f t="shared" si="24"/>
        <v>17.100000000000001</v>
      </c>
      <c r="G479" s="7">
        <v>1.02780633</v>
      </c>
      <c r="H479" s="7">
        <v>8.3592367071590647</v>
      </c>
      <c r="I479" s="8">
        <v>38899.793312000002</v>
      </c>
      <c r="J479" s="12">
        <v>0.70733299999999999</v>
      </c>
      <c r="K479" s="7">
        <v>55.145522460027131</v>
      </c>
      <c r="L479" s="5">
        <v>0.52054852247238204</v>
      </c>
      <c r="M479" s="5">
        <v>52.054852247238202</v>
      </c>
      <c r="N479" s="16">
        <v>1.4680960000000001</v>
      </c>
      <c r="O479" s="20">
        <v>2.2028243500000002</v>
      </c>
      <c r="P479" s="16">
        <v>1.5</v>
      </c>
      <c r="Q479" s="25">
        <f t="shared" si="26"/>
        <v>1.3079000000000001</v>
      </c>
      <c r="R479">
        <v>0.90988000000000002</v>
      </c>
      <c r="S479" s="24">
        <v>0.39802000000000004</v>
      </c>
      <c r="T479">
        <f>Q479/100</f>
        <v>1.3079E-2</v>
      </c>
      <c r="U479">
        <f>R479/100</f>
        <v>9.0988000000000006E-3</v>
      </c>
      <c r="V479">
        <f>S479/100</f>
        <v>3.9802000000000006E-3</v>
      </c>
    </row>
    <row r="480" spans="1:23" x14ac:dyDescent="0.25">
      <c r="A480" t="s">
        <v>24</v>
      </c>
      <c r="B480">
        <v>13</v>
      </c>
      <c r="C480">
        <v>2012</v>
      </c>
      <c r="D480" s="5">
        <v>33.5</v>
      </c>
      <c r="E480" s="5">
        <v>51</v>
      </c>
      <c r="F480" s="5">
        <f t="shared" si="24"/>
        <v>17.5</v>
      </c>
      <c r="G480" s="7">
        <v>1.03041363</v>
      </c>
      <c r="H480" s="7">
        <v>10.654857873197679</v>
      </c>
      <c r="I480" s="8">
        <v>37637.147387999998</v>
      </c>
      <c r="J480" s="12">
        <v>-2.9809060000000001</v>
      </c>
      <c r="K480" s="7">
        <v>55.654720844601627</v>
      </c>
      <c r="L480" s="5">
        <v>0.52458924055099498</v>
      </c>
      <c r="M480" s="5">
        <v>52.458924055099502</v>
      </c>
      <c r="N480" s="16">
        <v>1.4912281000000001</v>
      </c>
      <c r="O480" s="20">
        <v>2.2807018000000001</v>
      </c>
      <c r="P480" s="16">
        <v>1.5294118000000001</v>
      </c>
      <c r="Q480" s="25">
        <f t="shared" si="26"/>
        <v>3.3143400000000005</v>
      </c>
      <c r="R480">
        <v>1.05758</v>
      </c>
      <c r="S480" s="24">
        <v>2.2567600000000003</v>
      </c>
      <c r="T480">
        <f>Q480/100</f>
        <v>3.3143400000000003E-2</v>
      </c>
      <c r="U480">
        <f>R480/100</f>
        <v>1.05758E-2</v>
      </c>
      <c r="V480">
        <f>S480/100</f>
        <v>2.2567600000000004E-2</v>
      </c>
    </row>
    <row r="481" spans="1:26" x14ac:dyDescent="0.25">
      <c r="A481" t="s">
        <v>24</v>
      </c>
      <c r="B481">
        <v>13</v>
      </c>
      <c r="C481">
        <v>2013</v>
      </c>
      <c r="D481" s="5">
        <v>33.5</v>
      </c>
      <c r="E481" s="5">
        <v>51.5</v>
      </c>
      <c r="F481" s="5">
        <f t="shared" si="24"/>
        <v>18</v>
      </c>
      <c r="G481" s="7">
        <v>1.01219992</v>
      </c>
      <c r="H481" s="7">
        <v>12.148804370073799</v>
      </c>
      <c r="I481" s="8">
        <v>36870.471146999997</v>
      </c>
      <c r="J481" s="12">
        <v>-1.841065</v>
      </c>
      <c r="K481" s="7">
        <v>54.867579396773699</v>
      </c>
      <c r="L481" s="5">
        <v>0.52109450101852395</v>
      </c>
      <c r="M481" s="5">
        <v>52.109450101852396</v>
      </c>
      <c r="N481" s="16">
        <v>1.4956140499999999</v>
      </c>
      <c r="O481" s="20">
        <v>2.2236842499999998</v>
      </c>
      <c r="P481" s="16">
        <v>1.4869281000000001</v>
      </c>
      <c r="Q481" s="25">
        <f t="shared" si="26"/>
        <v>2.3793499999999996</v>
      </c>
      <c r="R481">
        <v>1.3126599999999999</v>
      </c>
      <c r="S481" s="24">
        <v>1.0666899999999999</v>
      </c>
      <c r="T481">
        <f>Q481/100</f>
        <v>2.3793499999999995E-2</v>
      </c>
      <c r="U481">
        <f>R481/100</f>
        <v>1.3126599999999999E-2</v>
      </c>
      <c r="V481">
        <f>S481/100</f>
        <v>1.06669E-2</v>
      </c>
    </row>
    <row r="482" spans="1:26" x14ac:dyDescent="0.25">
      <c r="A482" t="s">
        <v>24</v>
      </c>
      <c r="B482">
        <v>13</v>
      </c>
      <c r="C482">
        <v>2014</v>
      </c>
      <c r="D482" s="5">
        <v>33.5</v>
      </c>
      <c r="E482" s="5">
        <v>52.4</v>
      </c>
      <c r="F482" s="5">
        <f t="shared" si="24"/>
        <v>18.899999999999999</v>
      </c>
      <c r="G482" s="7">
        <v>1.0024105750000001</v>
      </c>
      <c r="H482" s="7">
        <v>12.683009039975385</v>
      </c>
      <c r="I482" s="8">
        <v>36863.232408999997</v>
      </c>
      <c r="J482" s="12">
        <v>-4.548E-3</v>
      </c>
      <c r="K482" s="7">
        <v>55.322115150642226</v>
      </c>
      <c r="L482" s="5">
        <v>0.51823884248733498</v>
      </c>
      <c r="M482" s="5">
        <v>51.823884248733499</v>
      </c>
      <c r="N482" s="16">
        <v>1.5</v>
      </c>
      <c r="O482" s="20">
        <v>2.1666666999999999</v>
      </c>
      <c r="P482" s="16">
        <v>1.4444444000000001</v>
      </c>
      <c r="Q482" s="25">
        <f t="shared" si="26"/>
        <v>0.53907999999999989</v>
      </c>
      <c r="R482">
        <v>0.34666999999999998</v>
      </c>
      <c r="S482" s="24">
        <v>0.19240999999999994</v>
      </c>
      <c r="T482">
        <f>Q482/100</f>
        <v>5.3907999999999985E-3</v>
      </c>
      <c r="U482">
        <f>R482/100</f>
        <v>3.4666999999999996E-3</v>
      </c>
      <c r="V482">
        <f>S482/100</f>
        <v>1.9240999999999993E-3</v>
      </c>
      <c r="W482">
        <v>0.79683999999999999</v>
      </c>
    </row>
    <row r="483" spans="1:26" x14ac:dyDescent="0.25">
      <c r="A483" t="s">
        <v>25</v>
      </c>
      <c r="B483">
        <v>14</v>
      </c>
      <c r="C483">
        <v>1978</v>
      </c>
      <c r="D483" s="5">
        <v>23.9</v>
      </c>
      <c r="E483" s="5">
        <v>43.7</v>
      </c>
      <c r="F483" s="5">
        <f t="shared" si="24"/>
        <v>19.800000000000004</v>
      </c>
      <c r="G483" s="7">
        <v>1.0411201699999999</v>
      </c>
      <c r="H483" s="7">
        <v>5.4274353876739561</v>
      </c>
      <c r="I483" s="8">
        <v>28273.731890999999</v>
      </c>
      <c r="J483" s="12">
        <v>2.3307479999999998</v>
      </c>
      <c r="K483" s="7">
        <v>86.434506346818381</v>
      </c>
      <c r="L483" s="5">
        <v>0.72893905639648404</v>
      </c>
      <c r="M483" s="5">
        <v>72.893905639648409</v>
      </c>
      <c r="N483" s="16">
        <v>1.6019417</v>
      </c>
      <c r="P483" s="16">
        <v>1.6121212</v>
      </c>
      <c r="Q483" s="25">
        <f t="shared" si="26"/>
        <v>0</v>
      </c>
      <c r="R483" s="1">
        <v>0</v>
      </c>
      <c r="S483" s="24">
        <v>0</v>
      </c>
      <c r="T483">
        <f>Q483/100</f>
        <v>0</v>
      </c>
      <c r="U483">
        <f>R483/100</f>
        <v>0</v>
      </c>
      <c r="V483">
        <f>S483/100</f>
        <v>0</v>
      </c>
    </row>
    <row r="484" spans="1:26" x14ac:dyDescent="0.25">
      <c r="A484" t="s">
        <v>25</v>
      </c>
      <c r="B484">
        <v>14</v>
      </c>
      <c r="C484">
        <v>1979</v>
      </c>
      <c r="D484" s="5">
        <v>23.9</v>
      </c>
      <c r="E484" s="5">
        <v>44</v>
      </c>
      <c r="F484" s="5">
        <f t="shared" si="24"/>
        <v>20.100000000000001</v>
      </c>
      <c r="G484" s="7">
        <v>1.04199296</v>
      </c>
      <c r="H484" s="7">
        <v>5.4891197804352085</v>
      </c>
      <c r="I484" s="8">
        <v>28650.141224999999</v>
      </c>
      <c r="J484" s="12">
        <v>2.0219179999999999</v>
      </c>
      <c r="K484" s="7">
        <v>94.54879474587635</v>
      </c>
      <c r="L484" s="5">
        <v>0.72893905639648404</v>
      </c>
      <c r="M484" s="5">
        <v>72.893905639648409</v>
      </c>
      <c r="N484" s="16">
        <v>1.5909091</v>
      </c>
      <c r="P484" s="16">
        <v>1.6142856999999999</v>
      </c>
      <c r="Q484" s="25">
        <f t="shared" si="26"/>
        <v>0</v>
      </c>
      <c r="R484" s="1">
        <v>0</v>
      </c>
      <c r="S484" s="24">
        <v>0</v>
      </c>
      <c r="T484">
        <f>Q484/100</f>
        <v>0</v>
      </c>
      <c r="U484">
        <f>R484/100</f>
        <v>0</v>
      </c>
      <c r="V484">
        <f>S484/100</f>
        <v>0</v>
      </c>
    </row>
    <row r="485" spans="1:26" x14ac:dyDescent="0.25">
      <c r="A485" t="s">
        <v>25</v>
      </c>
      <c r="B485">
        <v>14</v>
      </c>
      <c r="C485">
        <v>1980</v>
      </c>
      <c r="D485" s="5">
        <v>23.9</v>
      </c>
      <c r="E485" s="5">
        <v>44.2</v>
      </c>
      <c r="F485" s="5">
        <f t="shared" si="24"/>
        <v>20.300000000000004</v>
      </c>
      <c r="G485" s="7">
        <v>1.06513452</v>
      </c>
      <c r="H485" s="7">
        <v>6.1555891238670695</v>
      </c>
      <c r="I485" s="8">
        <v>29343.199896999999</v>
      </c>
      <c r="J485" s="12">
        <v>3.251004</v>
      </c>
      <c r="K485" s="7">
        <v>99.829144396115794</v>
      </c>
      <c r="L485" s="5">
        <v>0.72893905639648404</v>
      </c>
      <c r="M485" s="5">
        <v>72.893905639648409</v>
      </c>
      <c r="N485" s="16">
        <v>1.5844156</v>
      </c>
      <c r="P485" s="16">
        <v>1.6038250999999999</v>
      </c>
      <c r="Q485" s="25">
        <f t="shared" si="26"/>
        <v>0</v>
      </c>
      <c r="R485" s="1">
        <v>0</v>
      </c>
      <c r="S485" s="24">
        <v>0</v>
      </c>
      <c r="T485">
        <f>Q485/100</f>
        <v>0</v>
      </c>
      <c r="U485">
        <f>R485/100</f>
        <v>0</v>
      </c>
      <c r="V485">
        <f>S485/100</f>
        <v>0</v>
      </c>
    </row>
    <row r="486" spans="1:26" x14ac:dyDescent="0.25">
      <c r="A486" t="s">
        <v>25</v>
      </c>
      <c r="B486">
        <v>14</v>
      </c>
      <c r="C486">
        <v>1981</v>
      </c>
      <c r="D486" s="5">
        <v>24</v>
      </c>
      <c r="E486" s="5">
        <v>44.5</v>
      </c>
      <c r="F486" s="5">
        <f t="shared" si="24"/>
        <v>20.5</v>
      </c>
      <c r="G486" s="7">
        <v>1.0673893000000001</v>
      </c>
      <c r="H486" s="7">
        <v>8.6455331412103753</v>
      </c>
      <c r="I486" s="8">
        <v>28910.960021999999</v>
      </c>
      <c r="J486" s="12">
        <v>-0.78361199999999998</v>
      </c>
      <c r="K486" s="7">
        <v>104.87436495144176</v>
      </c>
      <c r="L486" s="5">
        <v>0.71238601207733199</v>
      </c>
      <c r="M486" s="5">
        <v>71.238601207733197</v>
      </c>
      <c r="N486" s="16">
        <v>1.5785123999999999</v>
      </c>
      <c r="P486" s="16">
        <v>1.6020942</v>
      </c>
      <c r="Q486" s="25">
        <f t="shared" si="26"/>
        <v>1.75</v>
      </c>
      <c r="R486" s="1">
        <v>1.22</v>
      </c>
      <c r="S486" s="24">
        <v>0.53</v>
      </c>
      <c r="T486">
        <f>Q486/100</f>
        <v>1.7500000000000002E-2</v>
      </c>
      <c r="U486">
        <f>R486/100</f>
        <v>1.2199999999999999E-2</v>
      </c>
      <c r="V486">
        <f>S486/100</f>
        <v>5.3E-3</v>
      </c>
    </row>
    <row r="487" spans="1:26" x14ac:dyDescent="0.25">
      <c r="A487" t="s">
        <v>25</v>
      </c>
      <c r="B487">
        <v>14</v>
      </c>
      <c r="C487">
        <v>1982</v>
      </c>
      <c r="D487" s="5">
        <v>24.2</v>
      </c>
      <c r="E487" s="5">
        <v>45</v>
      </c>
      <c r="F487" s="5">
        <f t="shared" si="24"/>
        <v>20.8</v>
      </c>
      <c r="G487" s="7">
        <v>1.0591109400000001</v>
      </c>
      <c r="H487" s="7">
        <v>11.562224183583407</v>
      </c>
      <c r="I487" s="8">
        <v>28422.571212999999</v>
      </c>
      <c r="J487" s="12">
        <v>-1.2407570000000001</v>
      </c>
      <c r="K487" s="7">
        <v>104.50880438022372</v>
      </c>
      <c r="L487" s="5">
        <v>0.70509243011474598</v>
      </c>
      <c r="M487" s="5">
        <v>70.509243011474595</v>
      </c>
      <c r="N487" s="16">
        <v>1.5361217</v>
      </c>
      <c r="P487" s="16">
        <v>1.5866336999999999</v>
      </c>
      <c r="Q487" s="25">
        <f t="shared" si="26"/>
        <v>1.71</v>
      </c>
      <c r="R487" s="1">
        <v>1.71</v>
      </c>
      <c r="S487" s="24">
        <v>0</v>
      </c>
      <c r="T487">
        <f>Q487/100</f>
        <v>1.7100000000000001E-2</v>
      </c>
      <c r="U487">
        <f>R487/100</f>
        <v>1.7100000000000001E-2</v>
      </c>
      <c r="V487">
        <f>S487/100</f>
        <v>0</v>
      </c>
    </row>
    <row r="488" spans="1:26" x14ac:dyDescent="0.25">
      <c r="A488" t="s">
        <v>25</v>
      </c>
      <c r="B488">
        <v>14</v>
      </c>
      <c r="C488">
        <v>1983</v>
      </c>
      <c r="D488" s="5">
        <v>24.4</v>
      </c>
      <c r="E488" s="5">
        <v>45.5</v>
      </c>
      <c r="F488" s="5">
        <f t="shared" si="24"/>
        <v>21.1</v>
      </c>
      <c r="G488" s="7">
        <v>1.02740841</v>
      </c>
      <c r="H488" s="7">
        <v>11.859459267038071</v>
      </c>
      <c r="I488" s="8">
        <v>28897.835055</v>
      </c>
      <c r="J488" s="12">
        <v>2.0699580000000002</v>
      </c>
      <c r="K488" s="7">
        <v>104.81928638433196</v>
      </c>
      <c r="L488" s="5">
        <v>0.69116514921188399</v>
      </c>
      <c r="M488" s="5">
        <v>69.116514921188397</v>
      </c>
      <c r="N488" s="16">
        <v>1.5111939999999999</v>
      </c>
      <c r="P488" s="16">
        <v>1.5876543000000001</v>
      </c>
      <c r="Q488" s="25">
        <f t="shared" si="26"/>
        <v>3.24</v>
      </c>
      <c r="R488" s="1">
        <v>2.75</v>
      </c>
      <c r="S488" s="24">
        <v>0.49</v>
      </c>
      <c r="T488">
        <f>Q488/100</f>
        <v>3.2400000000000005E-2</v>
      </c>
      <c r="U488">
        <f>R488/100</f>
        <v>2.75E-2</v>
      </c>
      <c r="V488">
        <f>S488/100</f>
        <v>4.8999999999999998E-3</v>
      </c>
      <c r="W488">
        <v>0.72248000000000001</v>
      </c>
    </row>
    <row r="489" spans="1:26" x14ac:dyDescent="0.25">
      <c r="A489" t="s">
        <v>25</v>
      </c>
      <c r="B489">
        <v>14</v>
      </c>
      <c r="C489">
        <v>1984</v>
      </c>
      <c r="D489" s="5">
        <v>24.3</v>
      </c>
      <c r="E489" s="5">
        <v>45.4</v>
      </c>
      <c r="F489" s="5">
        <f t="shared" ref="F489:F552" si="27">E489-D489</f>
        <v>21.099999999999998</v>
      </c>
      <c r="G489" s="7">
        <v>1.0330163800000001</v>
      </c>
      <c r="H489" s="7">
        <v>12.153819015699417</v>
      </c>
      <c r="I489" s="8">
        <v>29669.022448</v>
      </c>
      <c r="J489" s="12">
        <v>3.0616789999999998</v>
      </c>
      <c r="K489" s="7">
        <v>110.54326394605962</v>
      </c>
      <c r="L489" s="5">
        <v>0.67354178428649902</v>
      </c>
      <c r="M489" s="5">
        <v>67.354178428649902</v>
      </c>
      <c r="N489" s="16">
        <v>1.5186567</v>
      </c>
      <c r="P489" s="16">
        <v>1.6019656</v>
      </c>
      <c r="Q489" s="25">
        <f t="shared" si="26"/>
        <v>1.76</v>
      </c>
      <c r="R489" s="1">
        <v>1.76</v>
      </c>
      <c r="S489" s="24">
        <v>0</v>
      </c>
      <c r="T489">
        <f>Q489/100</f>
        <v>1.7600000000000001E-2</v>
      </c>
      <c r="U489">
        <f>R489/100</f>
        <v>1.7600000000000001E-2</v>
      </c>
      <c r="V489">
        <f>S489/100</f>
        <v>0</v>
      </c>
    </row>
    <row r="490" spans="1:26" x14ac:dyDescent="0.25">
      <c r="A490" t="s">
        <v>25</v>
      </c>
      <c r="B490">
        <v>14</v>
      </c>
      <c r="C490">
        <v>1985</v>
      </c>
      <c r="D490" s="5">
        <v>24.3</v>
      </c>
      <c r="E490" s="5">
        <v>45.4</v>
      </c>
      <c r="F490" s="5">
        <f t="shared" si="27"/>
        <v>21.099999999999998</v>
      </c>
      <c r="G490" s="7">
        <v>1.0225858699999999</v>
      </c>
      <c r="H490" s="7">
        <v>10.495886534733016</v>
      </c>
      <c r="I490" s="8">
        <v>30297.992891999998</v>
      </c>
      <c r="J490" s="12">
        <v>2.5801799999999999</v>
      </c>
      <c r="K490" s="7">
        <v>114.48313111913251</v>
      </c>
      <c r="L490" s="5">
        <v>0.67241454124450695</v>
      </c>
      <c r="M490" s="5">
        <v>67.241454124450698</v>
      </c>
      <c r="N490" s="16">
        <v>1.5454545</v>
      </c>
      <c r="P490" s="16">
        <v>1.6151960999999999</v>
      </c>
      <c r="Q490" s="25">
        <f t="shared" si="26"/>
        <v>1.24</v>
      </c>
      <c r="R490" s="1">
        <v>1.24</v>
      </c>
      <c r="S490" s="24">
        <v>0</v>
      </c>
      <c r="T490">
        <f>Q490/100</f>
        <v>1.24E-2</v>
      </c>
      <c r="U490">
        <f>R490/100</f>
        <v>1.24E-2</v>
      </c>
      <c r="V490">
        <f>S490/100</f>
        <v>0</v>
      </c>
    </row>
    <row r="491" spans="1:26" x14ac:dyDescent="0.25">
      <c r="A491" t="s">
        <v>25</v>
      </c>
      <c r="B491">
        <v>14</v>
      </c>
      <c r="C491">
        <v>1986</v>
      </c>
      <c r="D491" s="5">
        <v>24.2</v>
      </c>
      <c r="E491" s="5">
        <v>45.5</v>
      </c>
      <c r="F491" s="5">
        <f t="shared" si="27"/>
        <v>21.3</v>
      </c>
      <c r="G491" s="7">
        <v>1.0008334722000001</v>
      </c>
      <c r="H491" s="7">
        <v>10.503472222222223</v>
      </c>
      <c r="I491" s="8">
        <v>30973.4987</v>
      </c>
      <c r="J491" s="12">
        <v>2.7869760000000001</v>
      </c>
      <c r="K491" s="7">
        <v>97.132497025167794</v>
      </c>
      <c r="L491" s="5">
        <v>0.68025952577590898</v>
      </c>
      <c r="M491" s="5">
        <v>68.0259525775909</v>
      </c>
      <c r="N491" s="16">
        <v>1.5543070999999999</v>
      </c>
      <c r="P491" s="16">
        <v>1.6409639</v>
      </c>
      <c r="Q491" s="25">
        <f t="shared" si="26"/>
        <v>1.74</v>
      </c>
      <c r="R491" s="1">
        <v>1.74</v>
      </c>
      <c r="S491" s="24">
        <v>0</v>
      </c>
      <c r="T491">
        <f>Q491/100</f>
        <v>1.7399999999999999E-2</v>
      </c>
      <c r="U491">
        <f>R491/100</f>
        <v>1.7399999999999999E-2</v>
      </c>
      <c r="V491">
        <f>S491/100</f>
        <v>0</v>
      </c>
    </row>
    <row r="492" spans="1:26" x14ac:dyDescent="0.25">
      <c r="A492" t="s">
        <v>25</v>
      </c>
      <c r="B492">
        <v>14</v>
      </c>
      <c r="C492">
        <v>1987</v>
      </c>
      <c r="D492" s="5">
        <v>24.2</v>
      </c>
      <c r="E492" s="5">
        <v>45.7</v>
      </c>
      <c r="F492" s="5">
        <f t="shared" si="27"/>
        <v>21.500000000000004</v>
      </c>
      <c r="G492" s="7">
        <v>0.99308794099999997</v>
      </c>
      <c r="H492" s="7">
        <v>9.9786150556162418</v>
      </c>
      <c r="I492" s="8">
        <v>31362.832394000001</v>
      </c>
      <c r="J492" s="12">
        <v>1.931249</v>
      </c>
      <c r="K492" s="7">
        <v>95.674423347154288</v>
      </c>
      <c r="L492" s="5">
        <v>0.69564300775527999</v>
      </c>
      <c r="M492" s="5">
        <v>69.564300775527997</v>
      </c>
      <c r="N492" s="16">
        <v>1.5364963</v>
      </c>
      <c r="P492" s="16">
        <v>1.6437055</v>
      </c>
      <c r="Q492" s="25">
        <f t="shared" si="26"/>
        <v>1.48</v>
      </c>
      <c r="R492" s="1">
        <v>0</v>
      </c>
      <c r="S492" s="24">
        <v>1.48</v>
      </c>
      <c r="T492">
        <f>Q492/100</f>
        <v>1.4800000000000001E-2</v>
      </c>
      <c r="U492">
        <f>R492/100</f>
        <v>0</v>
      </c>
      <c r="V492">
        <f>S492/100</f>
        <v>1.4800000000000001E-2</v>
      </c>
      <c r="W492">
        <v>0.71516000000000002</v>
      </c>
      <c r="X492">
        <v>0.29599999999999999</v>
      </c>
      <c r="Y492">
        <v>0.29599999999999999</v>
      </c>
      <c r="Z492" s="5">
        <f>Y492*100</f>
        <v>29.599999999999998</v>
      </c>
    </row>
    <row r="493" spans="1:26" x14ac:dyDescent="0.25">
      <c r="A493" t="s">
        <v>25</v>
      </c>
      <c r="B493">
        <v>14</v>
      </c>
      <c r="C493">
        <v>1988</v>
      </c>
      <c r="D493" s="5">
        <v>24.4</v>
      </c>
      <c r="E493" s="5">
        <v>45.4</v>
      </c>
      <c r="F493" s="5">
        <f t="shared" si="27"/>
        <v>21</v>
      </c>
      <c r="G493" s="7">
        <v>1.0073794549999999</v>
      </c>
      <c r="H493" s="7">
        <v>9.405849530933839</v>
      </c>
      <c r="I493" s="8">
        <v>32231.090606999998</v>
      </c>
      <c r="J493" s="12">
        <v>3.4412189999999998</v>
      </c>
      <c r="K493" s="7">
        <v>99.987691752842238</v>
      </c>
      <c r="L493" s="5">
        <v>0.68638873100280795</v>
      </c>
      <c r="M493" s="5">
        <v>68.63887310028079</v>
      </c>
      <c r="N493" s="16">
        <v>1.5583942</v>
      </c>
      <c r="P493" s="16">
        <v>1.6580796</v>
      </c>
      <c r="Q493" s="25">
        <f t="shared" si="26"/>
        <v>6.0000000000000053E-2</v>
      </c>
      <c r="R493" s="1">
        <v>0.75</v>
      </c>
      <c r="S493" s="24">
        <v>-0.69</v>
      </c>
      <c r="T493">
        <f>Q493/100</f>
        <v>6.0000000000000049E-4</v>
      </c>
      <c r="U493">
        <f>R493/100</f>
        <v>7.4999999999999997E-3</v>
      </c>
      <c r="V493">
        <f>S493/100</f>
        <v>-6.8999999999999999E-3</v>
      </c>
      <c r="Y493">
        <v>0.32366666666666599</v>
      </c>
      <c r="Z493" s="5">
        <f t="shared" ref="Z493:Z519" si="28">Y493*100</f>
        <v>32.366666666666596</v>
      </c>
    </row>
    <row r="494" spans="1:26" x14ac:dyDescent="0.25">
      <c r="A494" t="s">
        <v>25</v>
      </c>
      <c r="B494">
        <v>14</v>
      </c>
      <c r="C494">
        <v>1989</v>
      </c>
      <c r="D494" s="5">
        <v>24.9</v>
      </c>
      <c r="E494" s="5">
        <v>45.4</v>
      </c>
      <c r="F494" s="5">
        <f t="shared" si="27"/>
        <v>20.5</v>
      </c>
      <c r="G494" s="7">
        <v>1.01082161</v>
      </c>
      <c r="H494" s="7">
        <v>8.7603830965457767</v>
      </c>
      <c r="I494" s="8">
        <v>33460.824953000003</v>
      </c>
      <c r="J494" s="12">
        <v>4.4202529999999998</v>
      </c>
      <c r="K494" s="7">
        <v>106.03949730578852</v>
      </c>
      <c r="L494" s="5">
        <v>0.66930526494979903</v>
      </c>
      <c r="M494" s="5">
        <v>66.930526494979901</v>
      </c>
      <c r="N494" s="16">
        <v>1.5683453000000001</v>
      </c>
      <c r="P494" s="16">
        <v>1.6582569</v>
      </c>
      <c r="Q494" s="25">
        <f t="shared" si="26"/>
        <v>0</v>
      </c>
      <c r="R494" s="1">
        <v>0</v>
      </c>
      <c r="S494" s="24">
        <v>0</v>
      </c>
      <c r="T494">
        <f>Q494/100</f>
        <v>0</v>
      </c>
      <c r="U494">
        <f>R494/100</f>
        <v>0</v>
      </c>
      <c r="V494">
        <f>S494/100</f>
        <v>0</v>
      </c>
      <c r="Y494">
        <v>0.351333333333333</v>
      </c>
      <c r="Z494" s="5">
        <f t="shared" si="28"/>
        <v>35.133333333333297</v>
      </c>
    </row>
    <row r="495" spans="1:26" x14ac:dyDescent="0.25">
      <c r="A495" t="s">
        <v>25</v>
      </c>
      <c r="B495">
        <v>14</v>
      </c>
      <c r="C495">
        <v>1990</v>
      </c>
      <c r="D495" s="5">
        <v>25.5</v>
      </c>
      <c r="E495" s="5">
        <v>45.4</v>
      </c>
      <c r="F495" s="5">
        <f t="shared" si="27"/>
        <v>19.899999999999999</v>
      </c>
      <c r="G495" s="7">
        <v>1.0245408899999999</v>
      </c>
      <c r="H495" s="7">
        <v>7.740152038700761</v>
      </c>
      <c r="I495" s="8">
        <v>34624.973924999998</v>
      </c>
      <c r="J495" s="12">
        <v>4.1831269999999998</v>
      </c>
      <c r="K495" s="7">
        <v>104.03336948268876</v>
      </c>
      <c r="L495" s="5">
        <v>0.65220302343368497</v>
      </c>
      <c r="M495" s="5">
        <v>65.220302343368502</v>
      </c>
      <c r="N495" s="16">
        <v>1.5743944999999999</v>
      </c>
      <c r="P495" s="16">
        <v>1.6637363000000001</v>
      </c>
      <c r="Q495" s="25">
        <f t="shared" si="26"/>
        <v>0</v>
      </c>
      <c r="R495" s="1">
        <v>0</v>
      </c>
      <c r="S495" s="24">
        <v>0</v>
      </c>
      <c r="T495">
        <f>Q495/100</f>
        <v>0</v>
      </c>
      <c r="U495">
        <f>R495/100</f>
        <v>0</v>
      </c>
      <c r="V495">
        <f>S495/100</f>
        <v>0</v>
      </c>
      <c r="W495">
        <v>0.75349999999999995</v>
      </c>
      <c r="X495">
        <v>0.379</v>
      </c>
      <c r="Y495">
        <v>0.379</v>
      </c>
      <c r="Z495" s="5">
        <f t="shared" si="28"/>
        <v>37.9</v>
      </c>
    </row>
    <row r="496" spans="1:26" x14ac:dyDescent="0.25">
      <c r="A496" t="s">
        <v>25</v>
      </c>
      <c r="B496">
        <v>14</v>
      </c>
      <c r="C496">
        <v>1991</v>
      </c>
      <c r="D496" s="5">
        <v>25.6</v>
      </c>
      <c r="E496" s="5">
        <v>45.6</v>
      </c>
      <c r="F496" s="5">
        <f t="shared" si="27"/>
        <v>20</v>
      </c>
      <c r="G496" s="7">
        <v>1.03158203</v>
      </c>
      <c r="H496" s="7">
        <v>7.3256636401691759</v>
      </c>
      <c r="I496" s="8">
        <v>35184.660952999999</v>
      </c>
      <c r="J496" s="12">
        <v>2.439038</v>
      </c>
      <c r="K496" s="7">
        <v>105.10940424754858</v>
      </c>
      <c r="L496" s="5">
        <v>0.65564095973968495</v>
      </c>
      <c r="M496" s="5">
        <v>65.564095973968492</v>
      </c>
      <c r="N496" s="16">
        <v>1.5719064</v>
      </c>
      <c r="P496" s="16">
        <v>1.6574468</v>
      </c>
      <c r="Q496" s="25">
        <f t="shared" si="26"/>
        <v>0.87</v>
      </c>
      <c r="R496" s="1">
        <v>0</v>
      </c>
      <c r="S496" s="24">
        <v>0.87</v>
      </c>
      <c r="T496">
        <f>Q496/100</f>
        <v>8.6999999999999994E-3</v>
      </c>
      <c r="U496">
        <f>R496/100</f>
        <v>0</v>
      </c>
      <c r="V496">
        <f>S496/100</f>
        <v>8.6999999999999994E-3</v>
      </c>
      <c r="Y496">
        <v>0.38133333333333302</v>
      </c>
      <c r="Z496" s="5">
        <f t="shared" si="28"/>
        <v>38.133333333333304</v>
      </c>
    </row>
    <row r="497" spans="1:26" x14ac:dyDescent="0.25">
      <c r="A497" t="s">
        <v>25</v>
      </c>
      <c r="B497">
        <v>14</v>
      </c>
      <c r="C497">
        <v>1992</v>
      </c>
      <c r="D497" s="5">
        <v>25.7</v>
      </c>
      <c r="E497" s="5">
        <v>45.7</v>
      </c>
      <c r="F497" s="5">
        <f t="shared" si="27"/>
        <v>20.000000000000004</v>
      </c>
      <c r="G497" s="7">
        <v>1.03183581</v>
      </c>
      <c r="H497" s="7">
        <v>5.5548415656370933</v>
      </c>
      <c r="I497" s="8">
        <v>35516.233039999999</v>
      </c>
      <c r="J497" s="12">
        <v>1.7060770000000001</v>
      </c>
      <c r="K497" s="7">
        <v>101.99967772893581</v>
      </c>
      <c r="L497" s="5">
        <v>0.66851973533630404</v>
      </c>
      <c r="M497" s="5">
        <v>66.8519735336304</v>
      </c>
      <c r="N497" s="16">
        <v>1.5705127999999999</v>
      </c>
      <c r="P497" s="16">
        <v>1.6510203999999999</v>
      </c>
      <c r="Q497" s="25">
        <f t="shared" si="26"/>
        <v>0.7400000000000001</v>
      </c>
      <c r="R497" s="1">
        <v>1.32</v>
      </c>
      <c r="S497" s="24">
        <v>-0.57999999999999996</v>
      </c>
      <c r="T497">
        <f>Q497/100</f>
        <v>7.4000000000000012E-3</v>
      </c>
      <c r="U497">
        <f>R497/100</f>
        <v>1.32E-2</v>
      </c>
      <c r="V497">
        <f>S497/100</f>
        <v>-5.7999999999999996E-3</v>
      </c>
      <c r="Y497">
        <v>0.38366666666666599</v>
      </c>
      <c r="Z497" s="5">
        <f t="shared" si="28"/>
        <v>38.366666666666596</v>
      </c>
    </row>
    <row r="498" spans="1:26" x14ac:dyDescent="0.25">
      <c r="A498" t="s">
        <v>25</v>
      </c>
      <c r="B498">
        <v>14</v>
      </c>
      <c r="C498">
        <v>1993</v>
      </c>
      <c r="D498" s="5">
        <v>26</v>
      </c>
      <c r="E498" s="5">
        <v>46</v>
      </c>
      <c r="F498" s="5">
        <f t="shared" si="27"/>
        <v>20</v>
      </c>
      <c r="G498" s="7">
        <v>1.0258418199999999</v>
      </c>
      <c r="H498" s="7">
        <v>6.284931970868854</v>
      </c>
      <c r="I498" s="8">
        <v>35708.869298999998</v>
      </c>
      <c r="J498" s="12">
        <v>1.2576160000000001</v>
      </c>
      <c r="K498" s="7">
        <v>98.941123286371763</v>
      </c>
      <c r="L498" s="5">
        <v>0.66805225610732999</v>
      </c>
      <c r="M498" s="5">
        <v>66.805225610733004</v>
      </c>
      <c r="N498" s="16">
        <v>1.5410334000000001</v>
      </c>
      <c r="P498" s="16">
        <v>1.6725838</v>
      </c>
      <c r="Q498" s="25">
        <f t="shared" si="26"/>
        <v>0.12000000000000002</v>
      </c>
      <c r="R498" s="1">
        <v>0.28000000000000003</v>
      </c>
      <c r="S498" s="24">
        <v>-0.16</v>
      </c>
      <c r="T498">
        <f>Q498/100</f>
        <v>1.2000000000000003E-3</v>
      </c>
      <c r="U498">
        <f>R498/100</f>
        <v>2.8000000000000004E-3</v>
      </c>
      <c r="V498">
        <f>S498/100</f>
        <v>-1.6000000000000001E-3</v>
      </c>
      <c r="W498">
        <v>0.74390000000000001</v>
      </c>
      <c r="X498">
        <v>0.38600000000000001</v>
      </c>
      <c r="Y498">
        <v>0.38600000000000001</v>
      </c>
      <c r="Z498" s="5">
        <f t="shared" si="28"/>
        <v>38.6</v>
      </c>
    </row>
    <row r="499" spans="1:26" x14ac:dyDescent="0.25">
      <c r="A499" t="s">
        <v>25</v>
      </c>
      <c r="B499">
        <v>14</v>
      </c>
      <c r="C499">
        <v>1994</v>
      </c>
      <c r="D499" s="5">
        <v>26.2</v>
      </c>
      <c r="E499" s="5">
        <v>46</v>
      </c>
      <c r="F499" s="5">
        <f t="shared" si="27"/>
        <v>19.8</v>
      </c>
      <c r="G499" s="7">
        <v>1.02801527</v>
      </c>
      <c r="H499" s="7">
        <v>7.1598648873138053</v>
      </c>
      <c r="I499" s="8">
        <v>36548.715591</v>
      </c>
      <c r="J499" s="12">
        <v>2.961084</v>
      </c>
      <c r="K499" s="7">
        <v>102.95073465570708</v>
      </c>
      <c r="L499" s="5">
        <v>0.65370625257492099</v>
      </c>
      <c r="M499" s="5">
        <v>65.370625257492094</v>
      </c>
      <c r="N499" s="16">
        <v>1.5558912</v>
      </c>
      <c r="P499" s="16">
        <v>1.6582524000000001</v>
      </c>
      <c r="Q499" s="25">
        <f t="shared" si="26"/>
        <v>0</v>
      </c>
      <c r="R499" s="1">
        <v>0</v>
      </c>
      <c r="S499" s="24">
        <v>0</v>
      </c>
      <c r="T499">
        <f>Q499/100</f>
        <v>0</v>
      </c>
      <c r="U499">
        <f>R499/100</f>
        <v>0</v>
      </c>
      <c r="V499">
        <f>S499/100</f>
        <v>0</v>
      </c>
      <c r="Y499">
        <v>0.38550000000000001</v>
      </c>
      <c r="Z499" s="5">
        <f t="shared" si="28"/>
        <v>38.550000000000004</v>
      </c>
    </row>
    <row r="500" spans="1:26" x14ac:dyDescent="0.25">
      <c r="A500" t="s">
        <v>25</v>
      </c>
      <c r="B500">
        <v>14</v>
      </c>
      <c r="C500">
        <v>1995</v>
      </c>
      <c r="D500" s="5">
        <v>26.1</v>
      </c>
      <c r="E500" s="5">
        <v>46</v>
      </c>
      <c r="F500" s="5">
        <f t="shared" si="27"/>
        <v>19.899999999999999</v>
      </c>
      <c r="G500" s="7">
        <v>1.0192322</v>
      </c>
      <c r="H500" s="7">
        <v>7.1573298285964624</v>
      </c>
      <c r="I500" s="8">
        <v>37495.784346</v>
      </c>
      <c r="J500" s="12">
        <v>3.1159780000000001</v>
      </c>
      <c r="K500" s="7">
        <v>107.81861160926968</v>
      </c>
      <c r="L500" s="5">
        <v>0.61663687229156505</v>
      </c>
      <c r="M500" s="5">
        <v>61.663687229156508</v>
      </c>
      <c r="N500" s="16">
        <v>1.618984</v>
      </c>
      <c r="P500" s="16">
        <v>1.7097439999999999</v>
      </c>
      <c r="Q500" s="25">
        <f t="shared" si="26"/>
        <v>0</v>
      </c>
      <c r="R500" s="1">
        <v>0</v>
      </c>
      <c r="S500" s="24">
        <v>0</v>
      </c>
      <c r="T500">
        <f>Q500/100</f>
        <v>0</v>
      </c>
      <c r="U500">
        <f>R500/100</f>
        <v>0</v>
      </c>
      <c r="V500">
        <f>S500/100</f>
        <v>0</v>
      </c>
      <c r="Y500">
        <v>0.38500000000000001</v>
      </c>
      <c r="Z500" s="5">
        <f t="shared" si="28"/>
        <v>38.5</v>
      </c>
    </row>
    <row r="501" spans="1:26" x14ac:dyDescent="0.25">
      <c r="A501" t="s">
        <v>25</v>
      </c>
      <c r="B501">
        <v>14</v>
      </c>
      <c r="C501">
        <v>1996</v>
      </c>
      <c r="D501" s="5">
        <v>25.7</v>
      </c>
      <c r="E501" s="5">
        <v>45.7</v>
      </c>
      <c r="F501" s="5">
        <f t="shared" si="27"/>
        <v>20.000000000000004</v>
      </c>
      <c r="G501" s="7">
        <v>1.0194936800000001</v>
      </c>
      <c r="H501" s="7">
        <v>6.4206064206064211</v>
      </c>
      <c r="I501" s="8">
        <v>38630.244433</v>
      </c>
      <c r="J501" s="12">
        <v>3.498742</v>
      </c>
      <c r="K501" s="7">
        <v>108.73297062023939</v>
      </c>
      <c r="L501" s="5">
        <v>0.61556887626647905</v>
      </c>
      <c r="M501" s="5">
        <v>61.556887626647907</v>
      </c>
      <c r="N501" s="16">
        <v>1.6229507999999999</v>
      </c>
      <c r="P501" s="16">
        <v>1.7111111000000001</v>
      </c>
      <c r="Q501" s="25">
        <f t="shared" si="26"/>
        <v>0</v>
      </c>
      <c r="R501" s="1">
        <v>0</v>
      </c>
      <c r="S501" s="24">
        <v>0</v>
      </c>
      <c r="T501">
        <f>Q501/100</f>
        <v>0</v>
      </c>
      <c r="U501">
        <f>R501/100</f>
        <v>0</v>
      </c>
      <c r="V501">
        <f>S501/100</f>
        <v>0</v>
      </c>
      <c r="Y501">
        <v>0.38450000000000001</v>
      </c>
      <c r="Z501" s="5">
        <f t="shared" si="28"/>
        <v>38.450000000000003</v>
      </c>
    </row>
    <row r="502" spans="1:26" x14ac:dyDescent="0.25">
      <c r="A502" t="s">
        <v>25</v>
      </c>
      <c r="B502">
        <v>14</v>
      </c>
      <c r="C502">
        <v>1997</v>
      </c>
      <c r="D502" s="5">
        <v>25.3</v>
      </c>
      <c r="E502" s="5">
        <v>45.4</v>
      </c>
      <c r="F502" s="5">
        <f t="shared" si="27"/>
        <v>20.099999999999998</v>
      </c>
      <c r="G502" s="7">
        <v>1.02109246</v>
      </c>
      <c r="H502" s="7">
        <v>5.5107756636993601</v>
      </c>
      <c r="I502" s="8">
        <v>40093.452428999997</v>
      </c>
      <c r="J502" s="12">
        <v>4.329053</v>
      </c>
      <c r="K502" s="7">
        <v>114.3407596884941</v>
      </c>
      <c r="L502" s="5">
        <v>0.60917150974273704</v>
      </c>
      <c r="M502" s="5">
        <v>60.917150974273703</v>
      </c>
      <c r="N502" s="16">
        <v>1.6415215999999999</v>
      </c>
      <c r="P502" s="16">
        <v>1.7164178999999999</v>
      </c>
      <c r="Q502" s="25">
        <f t="shared" si="26"/>
        <v>0</v>
      </c>
      <c r="R502" s="1">
        <v>0</v>
      </c>
      <c r="S502" s="24">
        <v>0</v>
      </c>
      <c r="T502">
        <f>Q502/100</f>
        <v>0</v>
      </c>
      <c r="U502">
        <f>R502/100</f>
        <v>0</v>
      </c>
      <c r="V502">
        <f>S502/100</f>
        <v>0</v>
      </c>
      <c r="Y502">
        <v>0.38400000000000001</v>
      </c>
      <c r="Z502" s="5">
        <f t="shared" si="28"/>
        <v>38.4</v>
      </c>
    </row>
    <row r="503" spans="1:26" x14ac:dyDescent="0.25">
      <c r="A503" t="s">
        <v>25</v>
      </c>
      <c r="B503">
        <v>14</v>
      </c>
      <c r="C503">
        <v>1998</v>
      </c>
      <c r="D503" s="5">
        <v>25</v>
      </c>
      <c r="E503" s="5">
        <v>45.2</v>
      </c>
      <c r="F503" s="5">
        <f t="shared" si="27"/>
        <v>20.200000000000003</v>
      </c>
      <c r="G503" s="7">
        <v>1.0195913599999999</v>
      </c>
      <c r="H503" s="7">
        <v>4.3940998682545018</v>
      </c>
      <c r="I503" s="8">
        <v>41706.900865000003</v>
      </c>
      <c r="J503" s="12">
        <v>4.6639169999999996</v>
      </c>
      <c r="K503" s="7">
        <v>112.55202323133695</v>
      </c>
      <c r="L503" s="5">
        <v>0.61007004976272605</v>
      </c>
      <c r="M503" s="5">
        <v>61.007004976272604</v>
      </c>
      <c r="N503" s="16">
        <v>1.6614321999999999</v>
      </c>
      <c r="P503" s="16">
        <v>1.7327032</v>
      </c>
      <c r="Q503" s="25">
        <f t="shared" si="26"/>
        <v>0</v>
      </c>
      <c r="R503" s="1">
        <v>0</v>
      </c>
      <c r="S503" s="24">
        <v>0</v>
      </c>
      <c r="T503">
        <f>Q503/100</f>
        <v>0</v>
      </c>
      <c r="U503">
        <f>R503/100</f>
        <v>0</v>
      </c>
      <c r="V503">
        <f>S503/100</f>
        <v>0</v>
      </c>
      <c r="Y503">
        <v>0.38350000000000001</v>
      </c>
      <c r="Z503" s="5">
        <f t="shared" si="28"/>
        <v>38.35</v>
      </c>
    </row>
    <row r="504" spans="1:26" x14ac:dyDescent="0.25">
      <c r="A504" t="s">
        <v>25</v>
      </c>
      <c r="B504">
        <v>14</v>
      </c>
      <c r="C504">
        <v>1999</v>
      </c>
      <c r="D504" s="5">
        <v>24.5</v>
      </c>
      <c r="E504" s="5">
        <v>45</v>
      </c>
      <c r="F504" s="5">
        <f t="shared" si="27"/>
        <v>20.5</v>
      </c>
      <c r="G504" s="7">
        <v>1.0215717900000001</v>
      </c>
      <c r="H504" s="7">
        <v>3.6220771814206958</v>
      </c>
      <c r="I504" s="8">
        <v>43515.548467000001</v>
      </c>
      <c r="J504" s="12">
        <v>5.0340480000000003</v>
      </c>
      <c r="K504" s="7">
        <v>114.40188433196093</v>
      </c>
      <c r="L504" s="5">
        <v>0.62112694978714</v>
      </c>
      <c r="M504" s="5">
        <v>62.112694978714003</v>
      </c>
      <c r="N504" s="16">
        <v>1.6587447</v>
      </c>
      <c r="P504" s="16">
        <v>1.7402645000000001</v>
      </c>
      <c r="Q504" s="25">
        <f t="shared" si="26"/>
        <v>0</v>
      </c>
      <c r="R504" s="1">
        <v>0</v>
      </c>
      <c r="S504" s="24">
        <v>0</v>
      </c>
      <c r="T504">
        <f>Q504/100</f>
        <v>0</v>
      </c>
      <c r="U504">
        <f>R504/100</f>
        <v>0</v>
      </c>
      <c r="V504">
        <f>S504/100</f>
        <v>0</v>
      </c>
      <c r="W504">
        <v>0.70279999999999998</v>
      </c>
      <c r="X504">
        <v>0.38300000000000001</v>
      </c>
      <c r="Y504">
        <v>0.38300000000000001</v>
      </c>
      <c r="Z504" s="5">
        <f t="shared" si="28"/>
        <v>38.299999999999997</v>
      </c>
    </row>
    <row r="505" spans="1:26" x14ac:dyDescent="0.25">
      <c r="A505" t="s">
        <v>25</v>
      </c>
      <c r="B505">
        <v>14</v>
      </c>
      <c r="C505">
        <v>2000</v>
      </c>
      <c r="D505" s="5">
        <v>25.1</v>
      </c>
      <c r="E505" s="5">
        <v>45.3</v>
      </c>
      <c r="F505" s="5">
        <f t="shared" si="27"/>
        <v>20.199999999999996</v>
      </c>
      <c r="G505" s="7">
        <v>1.0236052200000001</v>
      </c>
      <c r="H505" s="7">
        <v>2.9459281138043942</v>
      </c>
      <c r="I505" s="8">
        <v>45016.747424000001</v>
      </c>
      <c r="J505" s="12">
        <v>4.1956420000000003</v>
      </c>
      <c r="K505" s="7">
        <v>125.52194988130714</v>
      </c>
      <c r="L505" s="5">
        <v>0.62163841724395796</v>
      </c>
      <c r="M505" s="5">
        <v>62.163841724395795</v>
      </c>
      <c r="N505" s="16">
        <v>1.6566372</v>
      </c>
      <c r="P505" s="16">
        <v>1.7496438999999999</v>
      </c>
      <c r="Q505" s="25">
        <f t="shared" si="26"/>
        <v>0</v>
      </c>
      <c r="R505" s="1">
        <v>0</v>
      </c>
      <c r="S505" s="24">
        <v>0</v>
      </c>
      <c r="T505">
        <f>Q505/100</f>
        <v>0</v>
      </c>
      <c r="U505">
        <f>R505/100</f>
        <v>0</v>
      </c>
      <c r="V505">
        <f>S505/100</f>
        <v>0</v>
      </c>
      <c r="Y505">
        <v>0.39119999999999999</v>
      </c>
      <c r="Z505" s="5">
        <f t="shared" si="28"/>
        <v>39.119999999999997</v>
      </c>
    </row>
    <row r="506" spans="1:26" x14ac:dyDescent="0.25">
      <c r="A506" t="s">
        <v>25</v>
      </c>
      <c r="B506">
        <v>14</v>
      </c>
      <c r="C506">
        <v>2001</v>
      </c>
      <c r="D506" s="5">
        <v>25.5</v>
      </c>
      <c r="E506" s="5">
        <v>45.6</v>
      </c>
      <c r="F506" s="5">
        <f t="shared" si="27"/>
        <v>20.100000000000001</v>
      </c>
      <c r="G506" s="7">
        <v>1.0415584099999999</v>
      </c>
      <c r="H506" s="7">
        <v>2.2511048041944695</v>
      </c>
      <c r="I506" s="8">
        <v>45719.775342000001</v>
      </c>
      <c r="J506" s="12">
        <v>2.3269549999999999</v>
      </c>
      <c r="K506" s="7">
        <v>120.03876475727411</v>
      </c>
      <c r="L506" s="5">
        <v>0.61918550729751598</v>
      </c>
      <c r="M506" s="5">
        <v>61.918550729751601</v>
      </c>
      <c r="N506" s="16">
        <v>1.6613171</v>
      </c>
      <c r="P506" s="16">
        <v>1.7638240999999999</v>
      </c>
      <c r="Q506" s="25">
        <f t="shared" si="26"/>
        <v>0</v>
      </c>
      <c r="R506" s="1">
        <v>0</v>
      </c>
      <c r="S506" s="24">
        <v>0</v>
      </c>
      <c r="T506">
        <f>Q506/100</f>
        <v>0</v>
      </c>
      <c r="U506">
        <f>R506/100</f>
        <v>0</v>
      </c>
      <c r="V506">
        <f>S506/100</f>
        <v>0</v>
      </c>
      <c r="Y506">
        <v>0.39939999999999998</v>
      </c>
      <c r="Z506" s="5">
        <f t="shared" si="28"/>
        <v>39.94</v>
      </c>
    </row>
    <row r="507" spans="1:26" x14ac:dyDescent="0.25">
      <c r="A507" t="s">
        <v>25</v>
      </c>
      <c r="B507">
        <v>14</v>
      </c>
      <c r="C507">
        <v>2002</v>
      </c>
      <c r="D507" s="5">
        <v>25.8</v>
      </c>
      <c r="E507" s="5">
        <v>45.9</v>
      </c>
      <c r="F507" s="5">
        <f t="shared" si="27"/>
        <v>20.099999999999998</v>
      </c>
      <c r="G507" s="7">
        <v>1.0328753100000001</v>
      </c>
      <c r="H507" s="7">
        <v>2.7560074652410878</v>
      </c>
      <c r="I507" s="8">
        <v>45526.873265000002</v>
      </c>
      <c r="J507" s="12">
        <v>0.21727399999999999</v>
      </c>
      <c r="K507" s="7">
        <v>113.45739787722719</v>
      </c>
      <c r="L507" s="5">
        <v>0.62223595380783103</v>
      </c>
      <c r="M507" s="5">
        <v>62.223595380783102</v>
      </c>
      <c r="N507" s="16">
        <v>1.5977089</v>
      </c>
      <c r="O507" s="20">
        <v>2.7580863</v>
      </c>
      <c r="P507" s="16">
        <v>1.7262758</v>
      </c>
      <c r="Q507" s="25">
        <f t="shared" si="26"/>
        <v>0</v>
      </c>
      <c r="R507" s="1">
        <v>0</v>
      </c>
      <c r="S507" s="24">
        <v>0</v>
      </c>
      <c r="T507">
        <f>Q507/100</f>
        <v>0</v>
      </c>
      <c r="U507">
        <f>R507/100</f>
        <v>0</v>
      </c>
      <c r="V507">
        <f>S507/100</f>
        <v>0</v>
      </c>
      <c r="Y507">
        <v>0.40760000000000002</v>
      </c>
      <c r="Z507" s="5">
        <f t="shared" si="28"/>
        <v>40.760000000000005</v>
      </c>
    </row>
    <row r="508" spans="1:26" x14ac:dyDescent="0.25">
      <c r="A508" t="s">
        <v>25</v>
      </c>
      <c r="B508">
        <v>14</v>
      </c>
      <c r="C508">
        <v>2003</v>
      </c>
      <c r="D508" s="5">
        <v>26.1</v>
      </c>
      <c r="E508" s="5">
        <v>46.1</v>
      </c>
      <c r="F508" s="5">
        <f t="shared" si="27"/>
        <v>20</v>
      </c>
      <c r="G508" s="7">
        <v>1.0209199799999999</v>
      </c>
      <c r="H508" s="7">
        <v>3.6822894892116835</v>
      </c>
      <c r="I508" s="8">
        <v>45384.148362</v>
      </c>
      <c r="J508" s="12">
        <v>0.15564600000000001</v>
      </c>
      <c r="K508" s="7">
        <v>111.92000936019188</v>
      </c>
      <c r="L508" s="5">
        <v>0.62383872270584095</v>
      </c>
      <c r="M508" s="5">
        <v>62.383872270584092</v>
      </c>
      <c r="N508" s="16">
        <v>1.6422479000000001</v>
      </c>
      <c r="O508" s="20">
        <v>2.7892131999999998</v>
      </c>
      <c r="P508" s="16">
        <v>1.7561869999999999</v>
      </c>
      <c r="Q508" s="25">
        <f t="shared" si="26"/>
        <v>0</v>
      </c>
      <c r="R508" s="1">
        <v>0</v>
      </c>
      <c r="S508" s="24">
        <v>0</v>
      </c>
      <c r="T508">
        <f>Q508/100</f>
        <v>0</v>
      </c>
      <c r="U508">
        <f>R508/100</f>
        <v>0</v>
      </c>
      <c r="V508">
        <f>S508/100</f>
        <v>0</v>
      </c>
      <c r="Y508">
        <v>0.4158</v>
      </c>
      <c r="Z508" s="5">
        <f t="shared" si="28"/>
        <v>41.58</v>
      </c>
    </row>
    <row r="509" spans="1:26" x14ac:dyDescent="0.25">
      <c r="A509" t="s">
        <v>25</v>
      </c>
      <c r="B509">
        <v>14</v>
      </c>
      <c r="C509">
        <v>2004</v>
      </c>
      <c r="D509" s="5">
        <v>26.4</v>
      </c>
      <c r="E509" s="5">
        <v>46.4</v>
      </c>
      <c r="F509" s="5">
        <f t="shared" si="27"/>
        <v>20</v>
      </c>
      <c r="G509" s="7">
        <v>1.0126364699999999</v>
      </c>
      <c r="H509" s="7">
        <v>4.557831740265704</v>
      </c>
      <c r="I509" s="8">
        <v>46122.964608000002</v>
      </c>
      <c r="J509" s="12">
        <v>1.9849460000000001</v>
      </c>
      <c r="K509" s="7">
        <v>117.60862747172607</v>
      </c>
      <c r="L509" s="5">
        <v>0.61249178647994995</v>
      </c>
      <c r="M509" s="5">
        <v>61.249178647994995</v>
      </c>
      <c r="N509" s="16">
        <v>1.6481844999999999</v>
      </c>
      <c r="O509" s="20">
        <v>2.8203401000000001</v>
      </c>
      <c r="P509" s="16">
        <v>1.7621316</v>
      </c>
      <c r="Q509" s="25">
        <f t="shared" si="26"/>
        <v>1.7000000000000002</v>
      </c>
      <c r="R509" s="1">
        <v>1.3</v>
      </c>
      <c r="S509" s="24">
        <v>0.4</v>
      </c>
      <c r="T509">
        <f>Q509/100</f>
        <v>1.7000000000000001E-2</v>
      </c>
      <c r="U509">
        <f>R509/100</f>
        <v>1.3000000000000001E-2</v>
      </c>
      <c r="V509">
        <f>S509/100</f>
        <v>4.0000000000000001E-3</v>
      </c>
      <c r="W509">
        <v>0.72258999999999995</v>
      </c>
      <c r="X509">
        <v>0.42399999999999999</v>
      </c>
      <c r="Y509">
        <v>0.42399999999999999</v>
      </c>
      <c r="Z509" s="5">
        <f t="shared" si="28"/>
        <v>42.4</v>
      </c>
    </row>
    <row r="510" spans="1:26" x14ac:dyDescent="0.25">
      <c r="A510" t="s">
        <v>25</v>
      </c>
      <c r="B510">
        <v>14</v>
      </c>
      <c r="C510">
        <v>2005</v>
      </c>
      <c r="D510" s="5">
        <v>26.6</v>
      </c>
      <c r="E510" s="5">
        <v>46.7</v>
      </c>
      <c r="F510" s="5">
        <f t="shared" si="27"/>
        <v>20.100000000000001</v>
      </c>
      <c r="G510" s="7">
        <v>1.0168813000000001</v>
      </c>
      <c r="H510" s="7">
        <v>5.8726137999212735</v>
      </c>
      <c r="I510" s="8">
        <v>46959.292780000003</v>
      </c>
      <c r="J510" s="12">
        <v>2.0508760000000001</v>
      </c>
      <c r="K510" s="7">
        <v>122.80665767504171</v>
      </c>
      <c r="L510" s="5">
        <v>0.59801638126373302</v>
      </c>
      <c r="M510" s="5">
        <v>59.801638126373305</v>
      </c>
      <c r="N510" s="16">
        <v>1.6494696</v>
      </c>
      <c r="O510" s="20">
        <v>2.851467</v>
      </c>
      <c r="P510" s="16">
        <v>1.7620579000000001</v>
      </c>
      <c r="Q510" s="25">
        <f t="shared" si="26"/>
        <v>0.5</v>
      </c>
      <c r="R510" s="1">
        <v>0.3</v>
      </c>
      <c r="S510" s="24">
        <v>0.2</v>
      </c>
      <c r="T510">
        <f>Q510/100</f>
        <v>5.0000000000000001E-3</v>
      </c>
      <c r="U510">
        <f>R510/100</f>
        <v>3.0000000000000001E-3</v>
      </c>
      <c r="V510">
        <f>S510/100</f>
        <v>2E-3</v>
      </c>
      <c r="Y510">
        <v>0.42833333333333301</v>
      </c>
      <c r="Z510" s="5">
        <f t="shared" si="28"/>
        <v>42.8333333333333</v>
      </c>
    </row>
    <row r="511" spans="1:26" x14ac:dyDescent="0.25">
      <c r="A511" t="s">
        <v>25</v>
      </c>
      <c r="B511">
        <v>14</v>
      </c>
      <c r="C511">
        <v>2006</v>
      </c>
      <c r="D511" s="5">
        <v>26.8</v>
      </c>
      <c r="E511" s="5">
        <v>47</v>
      </c>
      <c r="F511" s="5">
        <f t="shared" si="27"/>
        <v>20.2</v>
      </c>
      <c r="G511" s="7">
        <v>1.0110150099999999</v>
      </c>
      <c r="H511" s="7">
        <v>5.0027013393270234</v>
      </c>
      <c r="I511" s="8">
        <v>48507.269996000003</v>
      </c>
      <c r="J511" s="12">
        <v>3.4609890000000001</v>
      </c>
      <c r="K511" s="7">
        <v>127.77215137901894</v>
      </c>
      <c r="L511" s="5">
        <v>0.58388936519622803</v>
      </c>
      <c r="M511" s="5">
        <v>58.388936519622803</v>
      </c>
      <c r="N511" s="16">
        <v>1.6177474000000001</v>
      </c>
      <c r="O511" s="20">
        <v>2.8825938999999998</v>
      </c>
      <c r="P511" s="16">
        <v>1.7818565</v>
      </c>
      <c r="Q511" s="25">
        <f t="shared" si="26"/>
        <v>0</v>
      </c>
      <c r="R511" s="1">
        <v>0</v>
      </c>
      <c r="S511" s="24">
        <v>0</v>
      </c>
      <c r="T511">
        <f>Q511/100</f>
        <v>0</v>
      </c>
      <c r="U511">
        <f>R511/100</f>
        <v>0</v>
      </c>
      <c r="V511">
        <f>S511/100</f>
        <v>0</v>
      </c>
      <c r="Y511">
        <v>0.43266666666666598</v>
      </c>
      <c r="Z511" s="5">
        <f t="shared" si="28"/>
        <v>43.266666666666595</v>
      </c>
    </row>
    <row r="512" spans="1:26" x14ac:dyDescent="0.25">
      <c r="A512" t="s">
        <v>25</v>
      </c>
      <c r="B512">
        <v>14</v>
      </c>
      <c r="C512">
        <v>2007</v>
      </c>
      <c r="D512" s="5">
        <v>26.8</v>
      </c>
      <c r="E512" s="5">
        <v>47</v>
      </c>
      <c r="F512" s="5">
        <f t="shared" si="27"/>
        <v>20.2</v>
      </c>
      <c r="G512" s="7">
        <v>1.01613859</v>
      </c>
      <c r="H512" s="7">
        <v>4.1524952436704234</v>
      </c>
      <c r="I512" s="8">
        <v>50226.754818000001</v>
      </c>
      <c r="J512" s="12">
        <v>3.7728429999999999</v>
      </c>
      <c r="K512" s="7">
        <v>130.45787102088281</v>
      </c>
      <c r="L512" s="5">
        <v>0.58125203847885099</v>
      </c>
      <c r="M512" s="5">
        <v>58.125203847885096</v>
      </c>
      <c r="O512" s="20">
        <v>2.8785555</v>
      </c>
      <c r="Q512" s="25">
        <f t="shared" si="26"/>
        <v>0</v>
      </c>
      <c r="R512" s="1">
        <v>0</v>
      </c>
      <c r="S512" s="24">
        <v>0</v>
      </c>
      <c r="T512">
        <f>Q512/100</f>
        <v>0</v>
      </c>
      <c r="U512">
        <f>R512/100</f>
        <v>0</v>
      </c>
      <c r="V512">
        <f>S512/100</f>
        <v>0</v>
      </c>
      <c r="W512">
        <v>0.71987999999999996</v>
      </c>
      <c r="X512">
        <v>0.437</v>
      </c>
      <c r="Y512">
        <v>0.437</v>
      </c>
      <c r="Z512" s="5">
        <f t="shared" si="28"/>
        <v>43.7</v>
      </c>
    </row>
    <row r="513" spans="1:26" x14ac:dyDescent="0.25">
      <c r="A513" t="s">
        <v>25</v>
      </c>
      <c r="B513">
        <v>14</v>
      </c>
      <c r="C513">
        <v>2008</v>
      </c>
      <c r="D513" s="5">
        <v>26.7</v>
      </c>
      <c r="E513" s="5">
        <v>46.9</v>
      </c>
      <c r="F513" s="5">
        <f t="shared" si="27"/>
        <v>20.2</v>
      </c>
      <c r="G513" s="7">
        <v>1.02486502</v>
      </c>
      <c r="H513" s="7">
        <v>3.654146924881549</v>
      </c>
      <c r="I513" s="8">
        <v>51117.137832</v>
      </c>
      <c r="J513" s="12">
        <v>2.1703250000000001</v>
      </c>
      <c r="K513" s="7">
        <v>131.05989202686041</v>
      </c>
      <c r="L513" s="5">
        <v>0.58680707216262795</v>
      </c>
      <c r="M513" s="5">
        <v>58.680707216262796</v>
      </c>
      <c r="O513" s="20">
        <v>2.8745170999999998</v>
      </c>
      <c r="Q513" s="25">
        <f t="shared" si="26"/>
        <v>0</v>
      </c>
      <c r="R513" s="1">
        <v>0</v>
      </c>
      <c r="S513" s="24">
        <v>0</v>
      </c>
      <c r="T513">
        <f>Q513/100</f>
        <v>0</v>
      </c>
      <c r="U513">
        <f>R513/100</f>
        <v>0</v>
      </c>
      <c r="V513">
        <f>S513/100</f>
        <v>0</v>
      </c>
      <c r="Y513">
        <v>0.43466666666666598</v>
      </c>
      <c r="Z513" s="5">
        <f t="shared" si="28"/>
        <v>43.466666666666598</v>
      </c>
    </row>
    <row r="514" spans="1:26" x14ac:dyDescent="0.25">
      <c r="A514" t="s">
        <v>25</v>
      </c>
      <c r="B514">
        <v>14</v>
      </c>
      <c r="C514">
        <v>2009</v>
      </c>
      <c r="D514" s="5">
        <v>26.3</v>
      </c>
      <c r="E514" s="5">
        <v>46.7</v>
      </c>
      <c r="F514" s="5">
        <f t="shared" si="27"/>
        <v>20.400000000000002</v>
      </c>
      <c r="G514" s="7">
        <v>1.01189777</v>
      </c>
      <c r="H514" s="7">
        <v>4.3468463328921549</v>
      </c>
      <c r="I514" s="8">
        <v>48992.496378999997</v>
      </c>
      <c r="J514" s="12">
        <v>-3.666884</v>
      </c>
      <c r="K514" s="7">
        <v>116.88954967815863</v>
      </c>
      <c r="L514" s="5">
        <v>0.61521667242050204</v>
      </c>
      <c r="M514" s="5">
        <v>61.521667242050206</v>
      </c>
      <c r="O514" s="20">
        <v>2.8704787</v>
      </c>
      <c r="Q514" s="25">
        <f t="shared" si="26"/>
        <v>0</v>
      </c>
      <c r="R514" s="1">
        <v>0</v>
      </c>
      <c r="S514" s="24">
        <v>0</v>
      </c>
      <c r="T514">
        <f>Q514/100</f>
        <v>0</v>
      </c>
      <c r="U514">
        <f>R514/100</f>
        <v>0</v>
      </c>
      <c r="V514">
        <f>S514/100</f>
        <v>0</v>
      </c>
      <c r="Y514">
        <v>0.43233333333333301</v>
      </c>
      <c r="Z514" s="5">
        <f t="shared" si="28"/>
        <v>43.233333333333299</v>
      </c>
    </row>
    <row r="515" spans="1:26" x14ac:dyDescent="0.25">
      <c r="A515" t="s">
        <v>25</v>
      </c>
      <c r="B515">
        <v>14</v>
      </c>
      <c r="C515">
        <v>2010</v>
      </c>
      <c r="D515" s="5">
        <v>26</v>
      </c>
      <c r="E515" s="5">
        <v>46.6</v>
      </c>
      <c r="F515" s="5">
        <f t="shared" si="27"/>
        <v>20.6</v>
      </c>
      <c r="G515" s="7">
        <v>1.0127530600000001</v>
      </c>
      <c r="H515" s="7">
        <v>4.9891403389131161</v>
      </c>
      <c r="I515" s="8">
        <v>49396.333816999999</v>
      </c>
      <c r="J515" s="12">
        <v>1.3427389999999999</v>
      </c>
      <c r="K515" s="7">
        <v>131.52207413479937</v>
      </c>
      <c r="L515" s="5">
        <v>0.60123986005783103</v>
      </c>
      <c r="M515" s="5">
        <v>60.123986005783102</v>
      </c>
      <c r="N515" s="16">
        <v>1.6259196</v>
      </c>
      <c r="O515" s="20">
        <v>2.8664402999999998</v>
      </c>
      <c r="P515" s="16">
        <v>1.7629655</v>
      </c>
      <c r="Q515" s="25">
        <f t="shared" ref="Q515:Q578" si="29">R515+S515</f>
        <v>0</v>
      </c>
      <c r="R515" s="1">
        <v>0</v>
      </c>
      <c r="S515" s="24">
        <v>0</v>
      </c>
      <c r="T515">
        <f>Q515/100</f>
        <v>0</v>
      </c>
      <c r="U515">
        <f>R515/100</f>
        <v>0</v>
      </c>
      <c r="V515">
        <f>S515/100</f>
        <v>0</v>
      </c>
      <c r="W515">
        <v>0.71553</v>
      </c>
      <c r="X515">
        <v>0.43</v>
      </c>
      <c r="Y515">
        <v>0.43</v>
      </c>
      <c r="Z515" s="5">
        <f t="shared" si="28"/>
        <v>43</v>
      </c>
    </row>
    <row r="516" spans="1:26" x14ac:dyDescent="0.25">
      <c r="A516" t="s">
        <v>25</v>
      </c>
      <c r="B516">
        <v>14</v>
      </c>
      <c r="C516">
        <v>2011</v>
      </c>
      <c r="D516" s="5">
        <v>26.1</v>
      </c>
      <c r="E516" s="5">
        <v>46.6</v>
      </c>
      <c r="F516" s="5">
        <f t="shared" si="27"/>
        <v>20.5</v>
      </c>
      <c r="G516" s="7">
        <v>1.0234106999999999</v>
      </c>
      <c r="H516" s="7">
        <v>4.9772653691548223</v>
      </c>
      <c r="I516" s="8">
        <v>49928.173970000003</v>
      </c>
      <c r="J516" s="12">
        <v>1.5511889999999999</v>
      </c>
      <c r="K516" s="7">
        <v>142.4717732821411</v>
      </c>
      <c r="L516" s="5">
        <v>0.60431396961212203</v>
      </c>
      <c r="M516" s="5">
        <v>60.431396961212201</v>
      </c>
      <c r="N516" s="16">
        <v>1.6253736999999999</v>
      </c>
      <c r="O516" s="20">
        <v>2.9047530500000001</v>
      </c>
      <c r="P516" s="16">
        <v>1.78715365</v>
      </c>
      <c r="Q516" s="25">
        <f t="shared" si="29"/>
        <v>1.9</v>
      </c>
      <c r="R516" s="1">
        <v>1.3</v>
      </c>
      <c r="S516" s="24">
        <v>0.6</v>
      </c>
      <c r="T516">
        <f>Q516/100</f>
        <v>1.9E-2</v>
      </c>
      <c r="U516">
        <f>R516/100</f>
        <v>1.3000000000000001E-2</v>
      </c>
      <c r="V516">
        <f>S516/100</f>
        <v>6.0000000000000001E-3</v>
      </c>
      <c r="Y516">
        <v>0.437</v>
      </c>
      <c r="Z516" s="5">
        <f t="shared" si="28"/>
        <v>43.7</v>
      </c>
    </row>
    <row r="517" spans="1:26" x14ac:dyDescent="0.25">
      <c r="A517" t="s">
        <v>25</v>
      </c>
      <c r="B517">
        <v>14</v>
      </c>
      <c r="C517">
        <v>2012</v>
      </c>
      <c r="D517" s="5">
        <v>26.2</v>
      </c>
      <c r="E517" s="5">
        <v>46.8</v>
      </c>
      <c r="F517" s="5">
        <f t="shared" si="27"/>
        <v>20.599999999999998</v>
      </c>
      <c r="G517" s="7">
        <v>1.0245554800000001</v>
      </c>
      <c r="H517" s="7">
        <v>5.8211119700705911</v>
      </c>
      <c r="I517" s="8">
        <v>49230.887032999999</v>
      </c>
      <c r="J517" s="12">
        <v>-1.030354</v>
      </c>
      <c r="K517" s="7">
        <v>149.26841520079145</v>
      </c>
      <c r="L517" s="5">
        <v>0.60764181613922097</v>
      </c>
      <c r="M517" s="5">
        <v>60.764181613922098</v>
      </c>
      <c r="O517" s="20">
        <v>2.9430657999999998</v>
      </c>
      <c r="Q517" s="25">
        <f t="shared" si="29"/>
        <v>0.1</v>
      </c>
      <c r="R517" s="1">
        <v>0.1</v>
      </c>
      <c r="S517" s="24">
        <v>0</v>
      </c>
      <c r="T517">
        <f>Q517/100</f>
        <v>1E-3</v>
      </c>
      <c r="U517">
        <f>R517/100</f>
        <v>1E-3</v>
      </c>
      <c r="V517">
        <f>S517/100</f>
        <v>0</v>
      </c>
      <c r="Y517">
        <v>0.44400000000000001</v>
      </c>
      <c r="Z517" s="5">
        <f t="shared" si="28"/>
        <v>44.4</v>
      </c>
    </row>
    <row r="518" spans="1:26" x14ac:dyDescent="0.25">
      <c r="A518" t="s">
        <v>25</v>
      </c>
      <c r="B518">
        <v>14</v>
      </c>
      <c r="C518">
        <v>2013</v>
      </c>
      <c r="D518" s="5">
        <v>26.6</v>
      </c>
      <c r="E518" s="5">
        <v>47.4</v>
      </c>
      <c r="F518" s="5">
        <f t="shared" si="27"/>
        <v>20.799999999999997</v>
      </c>
      <c r="G518" s="7">
        <v>1.0250689900000001</v>
      </c>
      <c r="H518" s="7">
        <v>7.2429978476445847</v>
      </c>
      <c r="I518" s="8">
        <v>49023.431578999996</v>
      </c>
      <c r="J518" s="12">
        <v>-0.13017500000000001</v>
      </c>
      <c r="K518" s="7">
        <v>149.54933130243481</v>
      </c>
      <c r="L518" s="5">
        <v>0.60368114709854104</v>
      </c>
      <c r="M518" s="5">
        <v>60.368114709854105</v>
      </c>
      <c r="O518" s="20">
        <v>2.9813785500000001</v>
      </c>
      <c r="Q518" s="25">
        <f t="shared" si="29"/>
        <v>0.8</v>
      </c>
      <c r="R518" s="1">
        <v>0.15</v>
      </c>
      <c r="S518" s="24">
        <v>0.65</v>
      </c>
      <c r="T518">
        <f>Q518/100</f>
        <v>8.0000000000000002E-3</v>
      </c>
      <c r="U518">
        <f>R518/100</f>
        <v>1.5E-3</v>
      </c>
      <c r="V518">
        <f>S518/100</f>
        <v>6.5000000000000006E-3</v>
      </c>
      <c r="W518">
        <v>0.73328000000000004</v>
      </c>
      <c r="X518">
        <v>0.45100000000000001</v>
      </c>
      <c r="Y518">
        <v>0.45100000000000001</v>
      </c>
      <c r="Z518" s="5">
        <f t="shared" si="28"/>
        <v>45.1</v>
      </c>
    </row>
    <row r="519" spans="1:26" x14ac:dyDescent="0.25">
      <c r="A519" t="s">
        <v>25</v>
      </c>
      <c r="B519">
        <v>14</v>
      </c>
      <c r="C519">
        <v>2014</v>
      </c>
      <c r="D519" s="5">
        <v>27</v>
      </c>
      <c r="E519" s="5">
        <v>47.8</v>
      </c>
      <c r="F519" s="5">
        <f t="shared" si="27"/>
        <v>20.799999999999997</v>
      </c>
      <c r="G519" s="7">
        <v>1.0097603509999999</v>
      </c>
      <c r="H519" s="7">
        <v>7.4161509535773913</v>
      </c>
      <c r="I519" s="8">
        <v>49541.389245999999</v>
      </c>
      <c r="J519" s="12">
        <v>1.423395</v>
      </c>
      <c r="K519" s="7">
        <v>150.05375543510632</v>
      </c>
      <c r="L519" s="5">
        <v>0.60256510972976696</v>
      </c>
      <c r="M519" s="5">
        <v>60.256510972976699</v>
      </c>
      <c r="N519" s="16">
        <v>1.6237360000000001</v>
      </c>
      <c r="O519" s="20">
        <v>3.0196912999999999</v>
      </c>
      <c r="P519" s="16">
        <v>1.8597181</v>
      </c>
      <c r="Q519" s="25">
        <f t="shared" si="29"/>
        <v>0</v>
      </c>
      <c r="R519" s="1">
        <v>0</v>
      </c>
      <c r="S519" s="24">
        <v>0</v>
      </c>
      <c r="T519">
        <f>Q519/100</f>
        <v>0</v>
      </c>
      <c r="U519">
        <f>R519/100</f>
        <v>0</v>
      </c>
      <c r="V519">
        <f>S519/100</f>
        <v>0</v>
      </c>
      <c r="Y519">
        <v>0.45350000000000001</v>
      </c>
      <c r="Z519" s="5">
        <f t="shared" si="28"/>
        <v>45.35</v>
      </c>
    </row>
    <row r="520" spans="1:26" x14ac:dyDescent="0.25">
      <c r="A520" t="s">
        <v>9</v>
      </c>
      <c r="B520">
        <v>15</v>
      </c>
      <c r="C520">
        <v>1978</v>
      </c>
      <c r="D520" s="5">
        <v>33.1</v>
      </c>
      <c r="E520" s="5">
        <v>51.5</v>
      </c>
      <c r="F520" s="5">
        <f t="shared" si="27"/>
        <v>18.399999999999999</v>
      </c>
      <c r="G520" s="7">
        <v>1.2103877000000001</v>
      </c>
      <c r="H520" s="7">
        <v>8.1344374086702391</v>
      </c>
      <c r="I520" s="8">
        <v>15264.137828999999</v>
      </c>
      <c r="J520" s="12">
        <v>2.815966</v>
      </c>
      <c r="K520" s="7">
        <v>41.130410208051494</v>
      </c>
      <c r="L520" s="5">
        <v>0.64297258853912398</v>
      </c>
      <c r="M520" s="5">
        <v>64.297258853912396</v>
      </c>
      <c r="Q520" s="25">
        <f t="shared" si="29"/>
        <v>0</v>
      </c>
      <c r="R520">
        <v>0</v>
      </c>
      <c r="S520" s="24">
        <v>0</v>
      </c>
      <c r="T520">
        <f>Q520/100</f>
        <v>0</v>
      </c>
      <c r="U520">
        <f>R520/100</f>
        <v>0</v>
      </c>
      <c r="V520">
        <f>S520/100</f>
        <v>0</v>
      </c>
    </row>
    <row r="521" spans="1:26" x14ac:dyDescent="0.25">
      <c r="A521" t="s">
        <v>9</v>
      </c>
      <c r="B521">
        <v>15</v>
      </c>
      <c r="C521">
        <v>1979</v>
      </c>
      <c r="D521" s="5">
        <v>33.4</v>
      </c>
      <c r="E521" s="5">
        <v>51.7</v>
      </c>
      <c r="F521" s="5">
        <f t="shared" si="27"/>
        <v>18.300000000000004</v>
      </c>
      <c r="G521" s="7">
        <v>1.2189923</v>
      </c>
      <c r="H521" s="7">
        <v>8.1943782753692247</v>
      </c>
      <c r="I521" s="8">
        <v>15952.976712</v>
      </c>
      <c r="J521" s="12">
        <v>5.6389370000000003</v>
      </c>
      <c r="K521" s="7">
        <v>50.733285631948924</v>
      </c>
      <c r="L521" s="5">
        <v>0.64297258853912398</v>
      </c>
      <c r="M521" s="5">
        <v>64.297258853912396</v>
      </c>
      <c r="Q521" s="25">
        <f t="shared" si="29"/>
        <v>0</v>
      </c>
      <c r="R521">
        <v>0</v>
      </c>
      <c r="S521" s="24">
        <v>0</v>
      </c>
      <c r="T521">
        <f>Q521/100</f>
        <v>0</v>
      </c>
      <c r="U521">
        <f>R521/100</f>
        <v>0</v>
      </c>
      <c r="V521">
        <f>S521/100</f>
        <v>0</v>
      </c>
    </row>
    <row r="522" spans="1:26" x14ac:dyDescent="0.25">
      <c r="A522" t="s">
        <v>9</v>
      </c>
      <c r="B522">
        <v>15</v>
      </c>
      <c r="C522">
        <v>1980</v>
      </c>
      <c r="D522" s="5">
        <v>33.700000000000003</v>
      </c>
      <c r="E522" s="5">
        <v>51.9</v>
      </c>
      <c r="F522" s="5">
        <f t="shared" si="27"/>
        <v>18.199999999999996</v>
      </c>
      <c r="G522" s="7">
        <v>1.1586748</v>
      </c>
      <c r="H522" s="7">
        <v>7.838090781469349</v>
      </c>
      <c r="I522" s="8">
        <v>16505.739995</v>
      </c>
      <c r="J522" s="12">
        <v>4.58934</v>
      </c>
      <c r="K522" s="7">
        <v>54.235250133883007</v>
      </c>
      <c r="L522" s="5">
        <v>0.64297258853912398</v>
      </c>
      <c r="M522" s="5">
        <v>64.297258853912396</v>
      </c>
      <c r="Q522" s="25">
        <f t="shared" si="29"/>
        <v>0</v>
      </c>
      <c r="R522">
        <v>0</v>
      </c>
      <c r="S522" s="24">
        <v>0</v>
      </c>
      <c r="T522">
        <f>Q522/100</f>
        <v>0</v>
      </c>
      <c r="U522">
        <f>R522/100</f>
        <v>0</v>
      </c>
      <c r="V522">
        <f>S522/100</f>
        <v>0</v>
      </c>
    </row>
    <row r="523" spans="1:26" x14ac:dyDescent="0.25">
      <c r="A523" t="s">
        <v>9</v>
      </c>
      <c r="B523">
        <v>15</v>
      </c>
      <c r="C523">
        <v>1981</v>
      </c>
      <c r="D523" s="5">
        <v>33.799999999999997</v>
      </c>
      <c r="E523" s="5">
        <v>51.9</v>
      </c>
      <c r="F523" s="5">
        <f t="shared" si="27"/>
        <v>18.100000000000001</v>
      </c>
      <c r="G523" s="7">
        <v>1.1904041000000001</v>
      </c>
      <c r="H523" s="7">
        <v>7.550731477111845</v>
      </c>
      <c r="I523" s="8">
        <v>16629.797224000002</v>
      </c>
      <c r="J523" s="12">
        <v>1.6181030000000001</v>
      </c>
      <c r="K523" s="7">
        <v>55.576139978877514</v>
      </c>
      <c r="L523" s="5">
        <v>0.64297258853912398</v>
      </c>
      <c r="M523" s="5">
        <v>64.297258853912396</v>
      </c>
      <c r="Q523" s="25">
        <f t="shared" si="29"/>
        <v>0</v>
      </c>
      <c r="R523">
        <v>0</v>
      </c>
      <c r="S523" s="24">
        <v>0</v>
      </c>
      <c r="T523">
        <f>Q523/100</f>
        <v>0</v>
      </c>
      <c r="U523">
        <f>R523/100</f>
        <v>0</v>
      </c>
      <c r="V523">
        <f>S523/100</f>
        <v>0</v>
      </c>
    </row>
    <row r="524" spans="1:26" x14ac:dyDescent="0.25">
      <c r="A524" t="s">
        <v>9</v>
      </c>
      <c r="B524">
        <v>15</v>
      </c>
      <c r="C524">
        <v>1982</v>
      </c>
      <c r="D524" s="5">
        <v>33.799999999999997</v>
      </c>
      <c r="E524" s="5">
        <v>52.1</v>
      </c>
      <c r="F524" s="5">
        <f t="shared" si="27"/>
        <v>18.300000000000004</v>
      </c>
      <c r="G524" s="7">
        <v>1.2167927999999999</v>
      </c>
      <c r="H524" s="7">
        <v>7.4676089517078923</v>
      </c>
      <c r="I524" s="8">
        <v>16880.378032000001</v>
      </c>
      <c r="J524" s="12">
        <v>2.1353749999999998</v>
      </c>
      <c r="K524" s="7">
        <v>55.762204448781205</v>
      </c>
      <c r="L524" s="5">
        <v>0.64297258853912398</v>
      </c>
      <c r="M524" s="5">
        <v>64.297258853912396</v>
      </c>
      <c r="Q524" s="25">
        <f t="shared" si="29"/>
        <v>0</v>
      </c>
      <c r="R524">
        <v>0</v>
      </c>
      <c r="S524" s="24">
        <v>0</v>
      </c>
      <c r="T524">
        <f>Q524/100</f>
        <v>0</v>
      </c>
      <c r="U524">
        <f>R524/100</f>
        <v>0</v>
      </c>
      <c r="V524">
        <f>S524/100</f>
        <v>0</v>
      </c>
    </row>
    <row r="525" spans="1:26" x14ac:dyDescent="0.25">
      <c r="A525" t="s">
        <v>9</v>
      </c>
      <c r="B525">
        <v>15</v>
      </c>
      <c r="C525">
        <v>1983</v>
      </c>
      <c r="D525" s="5">
        <v>33.9</v>
      </c>
      <c r="E525" s="5">
        <v>52.2</v>
      </c>
      <c r="F525" s="5">
        <f t="shared" si="27"/>
        <v>18.300000000000004</v>
      </c>
      <c r="G525" s="7">
        <v>1.2400275999999999</v>
      </c>
      <c r="H525" s="7">
        <v>7.9205711735832214</v>
      </c>
      <c r="I525" s="8">
        <v>16778.368377999999</v>
      </c>
      <c r="J525" s="12">
        <v>-0.17311299999999999</v>
      </c>
      <c r="K525" s="7">
        <v>58.927638630083997</v>
      </c>
      <c r="L525" s="5">
        <v>0.64297258853912398</v>
      </c>
      <c r="M525" s="5">
        <v>64.297258853912396</v>
      </c>
      <c r="Q525" s="25">
        <f t="shared" si="29"/>
        <v>1.75987</v>
      </c>
      <c r="R525">
        <v>0.72950000000000004</v>
      </c>
      <c r="S525" s="24">
        <v>1.03037</v>
      </c>
      <c r="T525">
        <f>Q525/100</f>
        <v>1.7598700000000002E-2</v>
      </c>
      <c r="U525">
        <f>R525/100</f>
        <v>7.2950000000000003E-3</v>
      </c>
      <c r="V525">
        <f>S525/100</f>
        <v>1.0303700000000001E-2</v>
      </c>
    </row>
    <row r="526" spans="1:26" x14ac:dyDescent="0.25">
      <c r="A526" t="s">
        <v>9</v>
      </c>
      <c r="B526">
        <v>15</v>
      </c>
      <c r="C526">
        <v>1984</v>
      </c>
      <c r="D526" s="5">
        <v>33.9</v>
      </c>
      <c r="E526" s="5">
        <v>52.3</v>
      </c>
      <c r="F526" s="5">
        <f t="shared" si="27"/>
        <v>18.399999999999999</v>
      </c>
      <c r="G526" s="7">
        <v>1.2838464000000001</v>
      </c>
      <c r="H526" s="7">
        <v>8.5483509086829716</v>
      </c>
      <c r="I526" s="8">
        <v>16406.902848000002</v>
      </c>
      <c r="J526" s="12">
        <v>-1.87998</v>
      </c>
      <c r="K526" s="7">
        <v>64.4120956691972</v>
      </c>
      <c r="L526" s="5">
        <v>0.64297258853912398</v>
      </c>
      <c r="M526" s="5">
        <v>64.297258853912396</v>
      </c>
      <c r="Q526" s="25">
        <f t="shared" si="29"/>
        <v>0</v>
      </c>
      <c r="R526">
        <v>0</v>
      </c>
      <c r="S526" s="24">
        <v>0</v>
      </c>
      <c r="T526">
        <f>Q526/100</f>
        <v>0</v>
      </c>
      <c r="U526">
        <f>R526/100</f>
        <v>0</v>
      </c>
      <c r="V526">
        <f>S526/100</f>
        <v>0</v>
      </c>
    </row>
    <row r="527" spans="1:26" x14ac:dyDescent="0.25">
      <c r="A527" t="s">
        <v>9</v>
      </c>
      <c r="B527">
        <v>15</v>
      </c>
      <c r="C527">
        <v>1985</v>
      </c>
      <c r="D527" s="5">
        <v>34</v>
      </c>
      <c r="E527" s="5">
        <v>52.4</v>
      </c>
      <c r="F527" s="5">
        <f t="shared" si="27"/>
        <v>18.399999999999999</v>
      </c>
      <c r="G527" s="7">
        <v>1.1946140999999999</v>
      </c>
      <c r="H527" s="7">
        <v>8.6692186444494492</v>
      </c>
      <c r="I527" s="8">
        <v>16830.448972999999</v>
      </c>
      <c r="J527" s="12">
        <v>2.8074400000000002</v>
      </c>
      <c r="K527" s="7">
        <v>61.516398377573282</v>
      </c>
      <c r="L527" s="5">
        <v>0.64297258853912398</v>
      </c>
      <c r="M527" s="5">
        <v>64.297258853912396</v>
      </c>
      <c r="N527" s="16">
        <v>1.6949152999999999</v>
      </c>
      <c r="P527" s="16">
        <v>2.14</v>
      </c>
      <c r="Q527" s="25">
        <f t="shared" si="29"/>
        <v>0</v>
      </c>
      <c r="R527">
        <v>0</v>
      </c>
      <c r="S527" s="24">
        <v>0</v>
      </c>
      <c r="T527">
        <f>Q527/100</f>
        <v>0</v>
      </c>
      <c r="U527">
        <f>R527/100</f>
        <v>0</v>
      </c>
      <c r="V527">
        <f>S527/100</f>
        <v>0</v>
      </c>
    </row>
    <row r="528" spans="1:26" x14ac:dyDescent="0.25">
      <c r="A528" t="s">
        <v>9</v>
      </c>
      <c r="B528">
        <v>15</v>
      </c>
      <c r="C528">
        <v>1986</v>
      </c>
      <c r="D528" s="5">
        <v>34.1</v>
      </c>
      <c r="E528" s="5">
        <v>52.5</v>
      </c>
      <c r="F528" s="5">
        <f t="shared" si="27"/>
        <v>18.399999999999999</v>
      </c>
      <c r="G528" s="7">
        <v>1.1233133</v>
      </c>
      <c r="H528" s="7">
        <v>8.591992802519119</v>
      </c>
      <c r="I528" s="8">
        <v>17527.390402000001</v>
      </c>
      <c r="J528" s="12">
        <v>4.1409560000000001</v>
      </c>
      <c r="K528" s="7">
        <v>54.020066266742539</v>
      </c>
      <c r="L528" s="5">
        <v>0.64297258853912398</v>
      </c>
      <c r="M528" s="5">
        <v>64.297258853912396</v>
      </c>
      <c r="N528" s="16">
        <v>1.6166883999999999</v>
      </c>
      <c r="P528" s="16">
        <v>2.17</v>
      </c>
      <c r="Q528" s="25">
        <f t="shared" si="29"/>
        <v>0</v>
      </c>
      <c r="R528">
        <v>0</v>
      </c>
      <c r="S528" s="24">
        <v>0</v>
      </c>
      <c r="T528">
        <f>Q528/100</f>
        <v>0</v>
      </c>
      <c r="U528">
        <f>R528/100</f>
        <v>0</v>
      </c>
      <c r="V528">
        <f>S528/100</f>
        <v>0</v>
      </c>
    </row>
    <row r="529" spans="1:22" x14ac:dyDescent="0.25">
      <c r="A529" t="s">
        <v>9</v>
      </c>
      <c r="B529">
        <v>15</v>
      </c>
      <c r="C529">
        <v>1987</v>
      </c>
      <c r="D529" s="5">
        <v>34.1</v>
      </c>
      <c r="E529" s="5">
        <v>52.7</v>
      </c>
      <c r="F529" s="5">
        <f t="shared" si="27"/>
        <v>18.600000000000001</v>
      </c>
      <c r="G529" s="7">
        <v>1.09634831</v>
      </c>
      <c r="H529" s="7">
        <v>7.1046770601336311</v>
      </c>
      <c r="I529" s="8">
        <v>18677.599249999999</v>
      </c>
      <c r="J529" s="12">
        <v>6.3813940000000002</v>
      </c>
      <c r="K529" s="7">
        <v>59.575853276296144</v>
      </c>
      <c r="L529" s="5">
        <v>0.64297258853912398</v>
      </c>
      <c r="M529" s="5">
        <v>64.297258853912396</v>
      </c>
      <c r="N529" s="16">
        <v>1.5384614999999999</v>
      </c>
      <c r="Q529" s="25">
        <f t="shared" si="29"/>
        <v>0</v>
      </c>
      <c r="R529">
        <v>0</v>
      </c>
      <c r="S529" s="24">
        <v>0</v>
      </c>
      <c r="T529">
        <f>Q529/100</f>
        <v>0</v>
      </c>
      <c r="U529">
        <f>R529/100</f>
        <v>0</v>
      </c>
      <c r="V529">
        <f>S529/100</f>
        <v>0</v>
      </c>
    </row>
    <row r="530" spans="1:22" x14ac:dyDescent="0.25">
      <c r="A530" t="s">
        <v>9</v>
      </c>
      <c r="B530">
        <v>15</v>
      </c>
      <c r="C530">
        <v>1988</v>
      </c>
      <c r="D530" s="5">
        <v>34.200000000000003</v>
      </c>
      <c r="E530" s="5">
        <v>52.7</v>
      </c>
      <c r="F530" s="5">
        <f t="shared" si="27"/>
        <v>18.5</v>
      </c>
      <c r="G530" s="7">
        <v>1.1010162999999999</v>
      </c>
      <c r="H530" s="7">
        <v>5.7671142416905132</v>
      </c>
      <c r="I530" s="8">
        <v>20128.751013000001</v>
      </c>
      <c r="J530" s="12">
        <v>7.4891079999999999</v>
      </c>
      <c r="K530" s="7">
        <v>63.199381985848504</v>
      </c>
      <c r="L530" s="5">
        <v>0.64297258853912398</v>
      </c>
      <c r="M530" s="5">
        <v>64.297258853912396</v>
      </c>
      <c r="Q530" s="25">
        <f t="shared" si="29"/>
        <v>0</v>
      </c>
      <c r="R530">
        <v>0</v>
      </c>
      <c r="S530" s="24">
        <v>0</v>
      </c>
      <c r="T530">
        <f>Q530/100</f>
        <v>0</v>
      </c>
      <c r="U530">
        <f>R530/100</f>
        <v>0</v>
      </c>
      <c r="V530">
        <f>S530/100</f>
        <v>0</v>
      </c>
    </row>
    <row r="531" spans="1:22" x14ac:dyDescent="0.25">
      <c r="A531" t="s">
        <v>9</v>
      </c>
      <c r="B531">
        <v>15</v>
      </c>
      <c r="C531">
        <v>1989</v>
      </c>
      <c r="D531" s="5">
        <v>34.200000000000003</v>
      </c>
      <c r="E531" s="5">
        <v>52.9</v>
      </c>
      <c r="F531" s="5">
        <f t="shared" si="27"/>
        <v>18.699999999999996</v>
      </c>
      <c r="G531" s="7">
        <v>1.1268629999999999</v>
      </c>
      <c r="H531" s="7">
        <v>5.054229934924078</v>
      </c>
      <c r="I531" s="8">
        <v>21492.010298000001</v>
      </c>
      <c r="J531" s="12">
        <v>6.440639</v>
      </c>
      <c r="K531" s="7">
        <v>64.868896378696633</v>
      </c>
      <c r="L531" s="5">
        <v>0.64297258853912398</v>
      </c>
      <c r="M531" s="5">
        <v>64.297258853912396</v>
      </c>
      <c r="N531" s="16">
        <v>1.5625</v>
      </c>
      <c r="P531" s="16">
        <v>2.2400000000000002</v>
      </c>
      <c r="Q531" s="25">
        <f t="shared" si="29"/>
        <v>0</v>
      </c>
      <c r="R531">
        <v>0</v>
      </c>
      <c r="S531" s="24">
        <v>0</v>
      </c>
      <c r="T531">
        <f>Q531/100</f>
        <v>0</v>
      </c>
      <c r="U531">
        <f>R531/100</f>
        <v>0</v>
      </c>
      <c r="V531">
        <f>S531/100</f>
        <v>0</v>
      </c>
    </row>
    <row r="532" spans="1:22" x14ac:dyDescent="0.25">
      <c r="A532" t="s">
        <v>9</v>
      </c>
      <c r="B532">
        <v>15</v>
      </c>
      <c r="C532">
        <v>1990</v>
      </c>
      <c r="D532" s="5">
        <v>34.299999999999997</v>
      </c>
      <c r="E532" s="5">
        <v>53</v>
      </c>
      <c r="F532" s="5">
        <f t="shared" si="27"/>
        <v>18.700000000000003</v>
      </c>
      <c r="G532" s="7">
        <v>1.1363057000000001</v>
      </c>
      <c r="H532" s="7">
        <v>4.6068796068796072</v>
      </c>
      <c r="I532" s="8">
        <v>22426.819394999999</v>
      </c>
      <c r="J532" s="12">
        <v>3.950523</v>
      </c>
      <c r="K532" s="7">
        <v>65.055592630688707</v>
      </c>
      <c r="L532" s="5">
        <v>0.64297258853912398</v>
      </c>
      <c r="M532" s="5">
        <v>64.297258853912396</v>
      </c>
      <c r="N532" s="16">
        <v>1.5625</v>
      </c>
      <c r="P532" s="16">
        <v>2.2400000000000002</v>
      </c>
      <c r="Q532" s="25">
        <f t="shared" si="29"/>
        <v>0</v>
      </c>
      <c r="R532">
        <v>0</v>
      </c>
      <c r="S532" s="24">
        <v>0</v>
      </c>
      <c r="T532">
        <f>Q532/100</f>
        <v>0</v>
      </c>
      <c r="U532">
        <f>R532/100</f>
        <v>0</v>
      </c>
      <c r="V532">
        <f>S532/100</f>
        <v>0</v>
      </c>
    </row>
    <row r="533" spans="1:22" x14ac:dyDescent="0.25">
      <c r="A533" t="s">
        <v>9</v>
      </c>
      <c r="B533">
        <v>15</v>
      </c>
      <c r="C533">
        <v>1991</v>
      </c>
      <c r="D533" s="5">
        <v>34.1</v>
      </c>
      <c r="E533" s="5">
        <v>53.1</v>
      </c>
      <c r="F533" s="5">
        <f t="shared" si="27"/>
        <v>19</v>
      </c>
      <c r="G533" s="7">
        <v>1.1184947999999999</v>
      </c>
      <c r="H533" s="7">
        <v>4.3150397989107665</v>
      </c>
      <c r="I533" s="8">
        <v>23472.863774000001</v>
      </c>
      <c r="J533" s="12">
        <v>4.3682059999999998</v>
      </c>
      <c r="K533" s="7">
        <v>60.366600215780728</v>
      </c>
      <c r="L533" s="5">
        <v>0.64297258853912398</v>
      </c>
      <c r="M533" s="5">
        <v>64.297258853912396</v>
      </c>
      <c r="N533" s="16">
        <v>1.5625</v>
      </c>
      <c r="P533" s="16">
        <v>2.2400000000000002</v>
      </c>
      <c r="Q533" s="25">
        <f t="shared" si="29"/>
        <v>0</v>
      </c>
      <c r="R533">
        <v>0</v>
      </c>
      <c r="S533" s="24">
        <v>0</v>
      </c>
      <c r="T533">
        <f>Q533/100</f>
        <v>0</v>
      </c>
      <c r="U533">
        <f>R533/100</f>
        <v>0</v>
      </c>
      <c r="V533">
        <f>S533/100</f>
        <v>0</v>
      </c>
    </row>
    <row r="534" spans="1:22" x14ac:dyDescent="0.25">
      <c r="A534" t="s">
        <v>9</v>
      </c>
      <c r="B534">
        <v>15</v>
      </c>
      <c r="C534">
        <v>1992</v>
      </c>
      <c r="D534" s="5">
        <v>34</v>
      </c>
      <c r="E534" s="5">
        <v>53.1</v>
      </c>
      <c r="F534" s="5">
        <f t="shared" si="27"/>
        <v>19.100000000000001</v>
      </c>
      <c r="G534" s="7">
        <v>1.0955926</v>
      </c>
      <c r="H534" s="7">
        <v>4.083503923575571</v>
      </c>
      <c r="I534" s="8">
        <v>23738.147763000001</v>
      </c>
      <c r="J534" s="12">
        <v>1.0894760000000001</v>
      </c>
      <c r="K534" s="7">
        <v>56.307277597898285</v>
      </c>
      <c r="L534" s="5">
        <v>0.64297258853912398</v>
      </c>
      <c r="M534" s="5">
        <v>64.297258853912396</v>
      </c>
      <c r="N534" s="16">
        <v>1.6129032000000001</v>
      </c>
      <c r="P534" s="16">
        <v>2.48</v>
      </c>
      <c r="Q534" s="25">
        <f t="shared" si="29"/>
        <v>0</v>
      </c>
      <c r="R534">
        <v>0</v>
      </c>
      <c r="S534" s="24">
        <v>0</v>
      </c>
      <c r="T534">
        <f>Q534/100</f>
        <v>0</v>
      </c>
      <c r="U534">
        <f>R534/100</f>
        <v>0</v>
      </c>
      <c r="V534">
        <f>S534/100</f>
        <v>0</v>
      </c>
    </row>
    <row r="535" spans="1:22" x14ac:dyDescent="0.25">
      <c r="A535" t="s">
        <v>9</v>
      </c>
      <c r="B535">
        <v>15</v>
      </c>
      <c r="C535">
        <v>1993</v>
      </c>
      <c r="D535" s="5">
        <v>33.799999999999997</v>
      </c>
      <c r="E535" s="5">
        <v>53.2</v>
      </c>
      <c r="F535" s="5">
        <f t="shared" si="27"/>
        <v>19.400000000000006</v>
      </c>
      <c r="G535" s="7">
        <v>1.0678377999999999</v>
      </c>
      <c r="H535" s="7">
        <v>5.4829393518023322</v>
      </c>
      <c r="I535" s="8">
        <v>23227.232883000001</v>
      </c>
      <c r="J535" s="12">
        <v>-2.0432769999999998</v>
      </c>
      <c r="K535" s="7">
        <v>54.175232663339088</v>
      </c>
      <c r="L535" s="5">
        <v>0.64297258853912398</v>
      </c>
      <c r="M535" s="5">
        <v>64.297258853912396</v>
      </c>
      <c r="N535" s="16">
        <v>1.6393443000000001</v>
      </c>
      <c r="P535" s="16">
        <v>2.4700000000000002</v>
      </c>
      <c r="Q535" s="25">
        <f t="shared" si="29"/>
        <v>0</v>
      </c>
      <c r="R535">
        <v>0</v>
      </c>
      <c r="S535" s="24">
        <v>0</v>
      </c>
      <c r="T535">
        <f>Q535/100</f>
        <v>0</v>
      </c>
      <c r="U535">
        <f>R535/100</f>
        <v>0</v>
      </c>
      <c r="V535">
        <f>S535/100</f>
        <v>0</v>
      </c>
    </row>
    <row r="536" spans="1:22" x14ac:dyDescent="0.25">
      <c r="A536" t="s">
        <v>9</v>
      </c>
      <c r="B536">
        <v>15</v>
      </c>
      <c r="C536">
        <v>1994</v>
      </c>
      <c r="D536" s="5">
        <v>33.700000000000003</v>
      </c>
      <c r="E536" s="5">
        <v>53.3</v>
      </c>
      <c r="F536" s="5">
        <f t="shared" si="27"/>
        <v>19.599999999999994</v>
      </c>
      <c r="G536" s="7">
        <v>1.0542043999999999</v>
      </c>
      <c r="H536" s="7">
        <v>6.8201031363597924</v>
      </c>
      <c r="I536" s="8">
        <v>23395.042509999999</v>
      </c>
      <c r="J536" s="12">
        <v>0.96483799999999997</v>
      </c>
      <c r="K536" s="7">
        <v>57.177360015686517</v>
      </c>
      <c r="L536" s="5">
        <v>0.64297258853912398</v>
      </c>
      <c r="M536" s="5">
        <v>64.297258853912396</v>
      </c>
      <c r="Q536" s="25">
        <f t="shared" si="29"/>
        <v>0</v>
      </c>
      <c r="R536">
        <v>0</v>
      </c>
      <c r="S536" s="24">
        <v>0</v>
      </c>
      <c r="T536">
        <f>Q536/100</f>
        <v>0</v>
      </c>
      <c r="U536">
        <f>R536/100</f>
        <v>0</v>
      </c>
      <c r="V536">
        <f>S536/100</f>
        <v>0</v>
      </c>
    </row>
    <row r="537" spans="1:22" x14ac:dyDescent="0.25">
      <c r="A537" t="s">
        <v>9</v>
      </c>
      <c r="B537">
        <v>15</v>
      </c>
      <c r="C537">
        <v>1995</v>
      </c>
      <c r="D537" s="5">
        <v>33.5</v>
      </c>
      <c r="E537" s="5">
        <v>53.3</v>
      </c>
      <c r="F537" s="5">
        <f t="shared" si="27"/>
        <v>19.799999999999997</v>
      </c>
      <c r="G537" s="7">
        <v>1.0422281600000001</v>
      </c>
      <c r="H537" s="7">
        <v>7.1537548737074088</v>
      </c>
      <c r="I537" s="8">
        <v>24327.894381999999</v>
      </c>
      <c r="J537" s="12">
        <v>4.2827799999999998</v>
      </c>
      <c r="K537" s="7">
        <v>59.914472162005275</v>
      </c>
      <c r="L537" s="5">
        <v>0.64297258853912398</v>
      </c>
      <c r="M537" s="5">
        <v>64.297258853912396</v>
      </c>
      <c r="Q537" s="25">
        <f t="shared" si="29"/>
        <v>0</v>
      </c>
      <c r="R537">
        <v>0</v>
      </c>
      <c r="S537" s="24">
        <v>0</v>
      </c>
      <c r="T537">
        <f>Q537/100</f>
        <v>0</v>
      </c>
      <c r="U537">
        <f>R537/100</f>
        <v>0</v>
      </c>
      <c r="V537">
        <f>S537/100</f>
        <v>0</v>
      </c>
    </row>
    <row r="538" spans="1:22" x14ac:dyDescent="0.25">
      <c r="A538" t="s">
        <v>9</v>
      </c>
      <c r="B538">
        <v>15</v>
      </c>
      <c r="C538">
        <v>1996</v>
      </c>
      <c r="D538" s="5">
        <v>33.299999999999997</v>
      </c>
      <c r="E538" s="5">
        <v>53.3</v>
      </c>
      <c r="F538" s="5">
        <f t="shared" si="27"/>
        <v>20</v>
      </c>
      <c r="G538" s="7">
        <v>1.0306897699999999</v>
      </c>
      <c r="H538" s="7">
        <v>7.2276227749021578</v>
      </c>
      <c r="I538" s="8">
        <v>25086.076616999999</v>
      </c>
      <c r="J538" s="12">
        <v>3.5042469999999999</v>
      </c>
      <c r="K538" s="7">
        <v>60.209805047166611</v>
      </c>
      <c r="L538" s="5">
        <v>0.65771663188934304</v>
      </c>
      <c r="M538" s="5">
        <v>65.771663188934298</v>
      </c>
      <c r="Q538" s="25">
        <f t="shared" si="29"/>
        <v>0</v>
      </c>
      <c r="R538">
        <v>0</v>
      </c>
      <c r="S538" s="24">
        <v>0</v>
      </c>
      <c r="T538">
        <f>Q538/100</f>
        <v>0</v>
      </c>
      <c r="U538">
        <f>R538/100</f>
        <v>0</v>
      </c>
      <c r="V538">
        <f>S538/100</f>
        <v>0</v>
      </c>
    </row>
    <row r="539" spans="1:22" x14ac:dyDescent="0.25">
      <c r="A539" t="s">
        <v>9</v>
      </c>
      <c r="B539">
        <v>15</v>
      </c>
      <c r="C539">
        <v>1997</v>
      </c>
      <c r="D539" s="5">
        <v>33.299999999999997</v>
      </c>
      <c r="E539" s="5">
        <v>53.3</v>
      </c>
      <c r="F539" s="5">
        <f t="shared" si="27"/>
        <v>20</v>
      </c>
      <c r="G539" s="7">
        <v>1.02336863</v>
      </c>
      <c r="H539" s="7">
        <v>6.7210833489106285</v>
      </c>
      <c r="I539" s="8">
        <v>26073.237882000001</v>
      </c>
      <c r="J539" s="12">
        <v>4.4008669999999999</v>
      </c>
      <c r="K539" s="7">
        <v>62.304951502458294</v>
      </c>
      <c r="L539" s="5">
        <v>0.653558790683746</v>
      </c>
      <c r="M539" s="5">
        <v>65.355879068374605</v>
      </c>
      <c r="Q539" s="25">
        <f t="shared" si="29"/>
        <v>0</v>
      </c>
      <c r="R539">
        <v>0</v>
      </c>
      <c r="S539" s="24">
        <v>0</v>
      </c>
      <c r="T539">
        <f>Q539/100</f>
        <v>0</v>
      </c>
      <c r="U539">
        <f>R539/100</f>
        <v>0</v>
      </c>
      <c r="V539">
        <f>S539/100</f>
        <v>0</v>
      </c>
    </row>
    <row r="540" spans="1:22" x14ac:dyDescent="0.25">
      <c r="A540" t="s">
        <v>9</v>
      </c>
      <c r="B540">
        <v>15</v>
      </c>
      <c r="C540">
        <v>1998</v>
      </c>
      <c r="D540" s="5">
        <v>33.200000000000003</v>
      </c>
      <c r="E540" s="5">
        <v>53.3</v>
      </c>
      <c r="F540" s="5">
        <f t="shared" si="27"/>
        <v>20.099999999999994</v>
      </c>
      <c r="G540" s="7">
        <v>1.02572752</v>
      </c>
      <c r="H540" s="7">
        <v>5.0674369079382169</v>
      </c>
      <c r="I540" s="8">
        <v>27189.122340000002</v>
      </c>
      <c r="J540" s="12">
        <v>4.807963</v>
      </c>
      <c r="K540" s="7">
        <v>63.830898857036054</v>
      </c>
      <c r="L540" s="5">
        <v>0.65797197818756104</v>
      </c>
      <c r="M540" s="5">
        <v>65.797197818756104</v>
      </c>
      <c r="Q540" s="25">
        <f t="shared" si="29"/>
        <v>0</v>
      </c>
      <c r="R540">
        <v>0</v>
      </c>
      <c r="S540" s="24">
        <v>0</v>
      </c>
      <c r="T540">
        <f>Q540/100</f>
        <v>0</v>
      </c>
      <c r="U540">
        <f>R540/100</f>
        <v>0</v>
      </c>
      <c r="V540">
        <f>S540/100</f>
        <v>0</v>
      </c>
    </row>
    <row r="541" spans="1:22" x14ac:dyDescent="0.25">
      <c r="A541" t="s">
        <v>9</v>
      </c>
      <c r="B541">
        <v>15</v>
      </c>
      <c r="C541">
        <v>1999</v>
      </c>
      <c r="D541" s="5">
        <v>33.200000000000003</v>
      </c>
      <c r="E541" s="5">
        <v>53.3</v>
      </c>
      <c r="F541" s="5">
        <f t="shared" si="27"/>
        <v>20.099999999999994</v>
      </c>
      <c r="G541" s="7">
        <v>1.0234009500000001</v>
      </c>
      <c r="H541" s="7">
        <v>4.5150939372200796</v>
      </c>
      <c r="I541" s="8">
        <v>28092.027622000001</v>
      </c>
      <c r="J541" s="12">
        <v>3.906577</v>
      </c>
      <c r="K541" s="7">
        <v>63.314329817223694</v>
      </c>
      <c r="L541" s="5">
        <v>0.65639114379882801</v>
      </c>
      <c r="M541" s="5">
        <v>65.639114379882798</v>
      </c>
      <c r="Q541" s="25">
        <f t="shared" si="29"/>
        <v>0</v>
      </c>
      <c r="R541">
        <v>0</v>
      </c>
      <c r="S541" s="24">
        <v>0</v>
      </c>
      <c r="T541">
        <f>Q541/100</f>
        <v>0</v>
      </c>
      <c r="U541">
        <f>R541/100</f>
        <v>0</v>
      </c>
      <c r="V541">
        <f>S541/100</f>
        <v>0</v>
      </c>
    </row>
    <row r="542" spans="1:22" x14ac:dyDescent="0.25">
      <c r="A542" t="s">
        <v>9</v>
      </c>
      <c r="B542">
        <v>15</v>
      </c>
      <c r="C542">
        <v>2000</v>
      </c>
      <c r="D542" s="5">
        <v>33.299999999999997</v>
      </c>
      <c r="E542" s="5">
        <v>53.3</v>
      </c>
      <c r="F542" s="5">
        <f t="shared" si="27"/>
        <v>20</v>
      </c>
      <c r="G542" s="7">
        <v>1.0285302999999999</v>
      </c>
      <c r="H542" s="7">
        <v>4.027459082729532</v>
      </c>
      <c r="I542" s="8">
        <v>28959.720499999999</v>
      </c>
      <c r="J542" s="12">
        <v>3.8161779999999998</v>
      </c>
      <c r="K542" s="7">
        <v>67.452997986324675</v>
      </c>
      <c r="L542" s="5">
        <v>0.65594464540481601</v>
      </c>
      <c r="M542" s="5">
        <v>65.594464540481596</v>
      </c>
      <c r="Q542" s="25">
        <f t="shared" si="29"/>
        <v>0.46278000000000002</v>
      </c>
      <c r="R542">
        <v>0.46278000000000002</v>
      </c>
      <c r="S542" s="24">
        <v>0</v>
      </c>
      <c r="T542">
        <f>Q542/100</f>
        <v>4.6278000000000005E-3</v>
      </c>
      <c r="U542">
        <f>R542/100</f>
        <v>4.6278000000000005E-3</v>
      </c>
      <c r="V542">
        <f>S542/100</f>
        <v>0</v>
      </c>
    </row>
    <row r="543" spans="1:22" x14ac:dyDescent="0.25">
      <c r="A543" t="s">
        <v>9</v>
      </c>
      <c r="B543">
        <v>15</v>
      </c>
      <c r="C543">
        <v>2001</v>
      </c>
      <c r="D543" s="5">
        <v>33.4</v>
      </c>
      <c r="E543" s="5">
        <v>53.3</v>
      </c>
      <c r="F543" s="5">
        <f t="shared" si="27"/>
        <v>19.899999999999999</v>
      </c>
      <c r="G543" s="7">
        <v>1.04369903</v>
      </c>
      <c r="H543" s="7">
        <v>4.0093037186795089</v>
      </c>
      <c r="I543" s="8">
        <v>29315.200539000001</v>
      </c>
      <c r="J543" s="12">
        <v>1.9436720000000001</v>
      </c>
      <c r="K543" s="7">
        <v>65.091955177112155</v>
      </c>
      <c r="L543" s="5">
        <v>0.65859049558639504</v>
      </c>
      <c r="M543" s="5">
        <v>65.859049558639498</v>
      </c>
      <c r="N543" s="16">
        <v>1.4570396999999999</v>
      </c>
      <c r="P543" s="16">
        <v>2.0722667000000001</v>
      </c>
      <c r="Q543" s="25">
        <f t="shared" si="29"/>
        <v>0</v>
      </c>
      <c r="R543">
        <v>0</v>
      </c>
      <c r="S543" s="24">
        <v>0</v>
      </c>
      <c r="T543">
        <f>Q543/100</f>
        <v>0</v>
      </c>
      <c r="U543">
        <f>R543/100</f>
        <v>0</v>
      </c>
      <c r="V543">
        <f>S543/100</f>
        <v>0</v>
      </c>
    </row>
    <row r="544" spans="1:22" x14ac:dyDescent="0.25">
      <c r="A544" t="s">
        <v>9</v>
      </c>
      <c r="B544">
        <v>15</v>
      </c>
      <c r="C544">
        <v>2002</v>
      </c>
      <c r="D544" s="5">
        <v>33.700000000000003</v>
      </c>
      <c r="E544" s="5">
        <v>53.3</v>
      </c>
      <c r="F544" s="5">
        <f t="shared" si="27"/>
        <v>19.599999999999994</v>
      </c>
      <c r="G544" s="7">
        <v>1.03600347</v>
      </c>
      <c r="H544" s="7">
        <v>4.995381915581417</v>
      </c>
      <c r="I544" s="8">
        <v>29379.878078000002</v>
      </c>
      <c r="J544" s="12">
        <v>0.77092400000000005</v>
      </c>
      <c r="K544" s="7">
        <v>62.308259416977243</v>
      </c>
      <c r="L544" s="5">
        <v>0.65621787309646595</v>
      </c>
      <c r="M544" s="5">
        <v>65.621787309646592</v>
      </c>
      <c r="N544" s="16">
        <v>1.433908</v>
      </c>
      <c r="P544" s="16">
        <v>2.1082163999999999</v>
      </c>
      <c r="Q544" s="25">
        <f t="shared" si="29"/>
        <v>1.29355</v>
      </c>
      <c r="R544">
        <v>0.25871</v>
      </c>
      <c r="S544" s="24">
        <v>1.03484</v>
      </c>
      <c r="T544">
        <f>Q544/100</f>
        <v>1.2935499999999999E-2</v>
      </c>
      <c r="U544">
        <f>R544/100</f>
        <v>2.5871000000000002E-3</v>
      </c>
      <c r="V544">
        <f>S544/100</f>
        <v>1.0348400000000001E-2</v>
      </c>
    </row>
    <row r="545" spans="1:23" x14ac:dyDescent="0.25">
      <c r="A545" t="s">
        <v>9</v>
      </c>
      <c r="B545">
        <v>15</v>
      </c>
      <c r="C545">
        <v>2003</v>
      </c>
      <c r="D545" s="5">
        <v>33.9</v>
      </c>
      <c r="E545" s="5">
        <v>53.3</v>
      </c>
      <c r="F545" s="5">
        <f t="shared" si="27"/>
        <v>19.399999999999999</v>
      </c>
      <c r="G545" s="7">
        <v>1.03218991</v>
      </c>
      <c r="H545" s="7">
        <v>6.2660193727998523</v>
      </c>
      <c r="I545" s="8">
        <v>28997.399809999999</v>
      </c>
      <c r="J545" s="12">
        <v>-0.93052100000000004</v>
      </c>
      <c r="K545" s="7">
        <v>61.138947488365304</v>
      </c>
      <c r="L545" s="5">
        <v>0.654438257217407</v>
      </c>
      <c r="M545" s="5">
        <v>65.443825721740694</v>
      </c>
      <c r="N545" s="16">
        <v>1.4273503999999999</v>
      </c>
      <c r="P545" s="16">
        <v>2.2195608999999998</v>
      </c>
      <c r="Q545" s="25">
        <f t="shared" si="29"/>
        <v>0</v>
      </c>
      <c r="R545">
        <v>0</v>
      </c>
      <c r="S545" s="24">
        <v>0</v>
      </c>
      <c r="T545">
        <f>Q545/100</f>
        <v>0</v>
      </c>
      <c r="U545">
        <f>R545/100</f>
        <v>0</v>
      </c>
      <c r="V545">
        <f>S545/100</f>
        <v>0</v>
      </c>
    </row>
    <row r="546" spans="1:23" x14ac:dyDescent="0.25">
      <c r="A546" t="s">
        <v>9</v>
      </c>
      <c r="B546">
        <v>15</v>
      </c>
      <c r="C546">
        <v>2004</v>
      </c>
      <c r="D546" s="5">
        <v>34.200000000000003</v>
      </c>
      <c r="E546" s="5">
        <v>53.3</v>
      </c>
      <c r="F546" s="5">
        <f t="shared" si="27"/>
        <v>19.099999999999994</v>
      </c>
      <c r="G546" s="7">
        <v>1.0236536199999999</v>
      </c>
      <c r="H546" s="7">
        <v>6.6249083269142961</v>
      </c>
      <c r="I546" s="8">
        <v>29445.420811</v>
      </c>
      <c r="J546" s="12">
        <v>1.7887360000000001</v>
      </c>
      <c r="K546" s="7">
        <v>63.204593667027851</v>
      </c>
      <c r="L546" s="5">
        <v>0.64727401733398404</v>
      </c>
      <c r="M546" s="5">
        <v>64.727401733398409</v>
      </c>
      <c r="N546" s="16">
        <v>1.6363637</v>
      </c>
      <c r="O546" s="20">
        <v>4.6450909999999999</v>
      </c>
      <c r="P546" s="16">
        <v>2.8386667000000001</v>
      </c>
      <c r="Q546" s="25">
        <f t="shared" si="29"/>
        <v>0</v>
      </c>
      <c r="R546">
        <v>0</v>
      </c>
      <c r="S546" s="24">
        <v>0</v>
      </c>
      <c r="T546">
        <f>Q546/100</f>
        <v>0</v>
      </c>
      <c r="U546">
        <f>R546/100</f>
        <v>0</v>
      </c>
      <c r="V546">
        <f>S546/100</f>
        <v>0</v>
      </c>
    </row>
    <row r="547" spans="1:23" x14ac:dyDescent="0.25">
      <c r="A547" t="s">
        <v>9</v>
      </c>
      <c r="B547">
        <v>15</v>
      </c>
      <c r="C547">
        <v>2005</v>
      </c>
      <c r="D547" s="5">
        <v>34.299999999999997</v>
      </c>
      <c r="E547" s="5">
        <v>53.2</v>
      </c>
      <c r="F547" s="5">
        <f t="shared" si="27"/>
        <v>18.900000000000006</v>
      </c>
      <c r="G547" s="7">
        <v>1.02277164</v>
      </c>
      <c r="H547" s="7">
        <v>7.5818058632876166</v>
      </c>
      <c r="I547" s="8">
        <v>29620.827228999999</v>
      </c>
      <c r="J547" s="12">
        <v>0.78184799999999999</v>
      </c>
      <c r="K547" s="7">
        <v>62.944504560452032</v>
      </c>
      <c r="L547" s="5">
        <v>0.65426272153854403</v>
      </c>
      <c r="M547" s="5">
        <v>65.426272153854399</v>
      </c>
      <c r="N547" s="16">
        <v>1.6145699</v>
      </c>
      <c r="O547" s="20">
        <v>4.3141306999999998</v>
      </c>
      <c r="P547" s="16">
        <v>2.6720000000000002</v>
      </c>
      <c r="Q547" s="25">
        <f t="shared" si="29"/>
        <v>0.61363000000000001</v>
      </c>
      <c r="R547">
        <v>8.2040000000000002E-2</v>
      </c>
      <c r="S547" s="24">
        <v>0.53159000000000001</v>
      </c>
      <c r="T547">
        <f>Q547/100</f>
        <v>6.1362999999999999E-3</v>
      </c>
      <c r="U547">
        <f>R547/100</f>
        <v>8.2039999999999999E-4</v>
      </c>
      <c r="V547">
        <f>S547/100</f>
        <v>5.3159000000000001E-3</v>
      </c>
    </row>
    <row r="548" spans="1:23" x14ac:dyDescent="0.25">
      <c r="A548" t="s">
        <v>9</v>
      </c>
      <c r="B548">
        <v>15</v>
      </c>
      <c r="C548">
        <v>2006</v>
      </c>
      <c r="D548" s="5">
        <v>34.200000000000003</v>
      </c>
      <c r="E548" s="5">
        <v>53.1</v>
      </c>
      <c r="F548" s="5">
        <f t="shared" si="27"/>
        <v>18.899999999999999</v>
      </c>
      <c r="G548" s="7">
        <v>1.0310766600000001</v>
      </c>
      <c r="H548" s="7">
        <v>7.6486608137414924</v>
      </c>
      <c r="I548" s="8">
        <v>30047.820535999999</v>
      </c>
      <c r="J548" s="12">
        <v>1.6250340000000001</v>
      </c>
      <c r="K548" s="7">
        <v>68.547053118200935</v>
      </c>
      <c r="L548" s="5">
        <v>0.64194995164871205</v>
      </c>
      <c r="M548" s="5">
        <v>64.194995164871202</v>
      </c>
      <c r="N548" s="16">
        <v>1.6025750000000001</v>
      </c>
      <c r="O548" s="20">
        <v>4.2857142000000001</v>
      </c>
      <c r="P548" s="16">
        <v>2.6742675</v>
      </c>
      <c r="Q548" s="25">
        <f t="shared" si="29"/>
        <v>2.2857400000000001</v>
      </c>
      <c r="R548">
        <v>1.26247</v>
      </c>
      <c r="S548" s="24">
        <v>1.0232700000000001</v>
      </c>
      <c r="T548">
        <f>Q548/100</f>
        <v>2.28574E-2</v>
      </c>
      <c r="U548">
        <f>R548/100</f>
        <v>1.2624699999999999E-2</v>
      </c>
      <c r="V548">
        <f>S548/100</f>
        <v>1.0232700000000001E-2</v>
      </c>
    </row>
    <row r="549" spans="1:23" x14ac:dyDescent="0.25">
      <c r="A549" t="s">
        <v>9</v>
      </c>
      <c r="B549">
        <v>15</v>
      </c>
      <c r="C549">
        <v>2007</v>
      </c>
      <c r="D549" s="5">
        <v>34</v>
      </c>
      <c r="E549" s="5">
        <v>52.9</v>
      </c>
      <c r="F549" s="5">
        <f t="shared" si="27"/>
        <v>18.899999999999999</v>
      </c>
      <c r="G549" s="7">
        <v>1.0245396499999999</v>
      </c>
      <c r="H549" s="7">
        <v>7.9651296790900092</v>
      </c>
      <c r="I549" s="8">
        <v>30740.518881</v>
      </c>
      <c r="J549" s="12">
        <v>2.50658</v>
      </c>
      <c r="K549" s="7">
        <v>69.946117581799101</v>
      </c>
      <c r="L549" s="5">
        <v>0.62297731637954701</v>
      </c>
      <c r="M549" s="5">
        <v>62.297731637954698</v>
      </c>
      <c r="N549" s="16">
        <v>1.6490845000000001</v>
      </c>
      <c r="O549" s="20">
        <v>4.3113320000000002</v>
      </c>
      <c r="P549" s="16">
        <v>2.6143790999999998</v>
      </c>
      <c r="Q549" s="25">
        <f t="shared" si="29"/>
        <v>2.1924199999999998</v>
      </c>
      <c r="R549">
        <v>1.70078</v>
      </c>
      <c r="S549" s="24">
        <v>0.49164000000000002</v>
      </c>
      <c r="T549">
        <f>Q549/100</f>
        <v>2.1924199999999998E-2</v>
      </c>
      <c r="U549">
        <f>R549/100</f>
        <v>1.70078E-2</v>
      </c>
      <c r="V549">
        <f>S549/100</f>
        <v>4.9164000000000005E-3</v>
      </c>
    </row>
    <row r="550" spans="1:23" x14ac:dyDescent="0.25">
      <c r="A550" t="s">
        <v>9</v>
      </c>
      <c r="B550">
        <v>15</v>
      </c>
      <c r="C550">
        <v>2008</v>
      </c>
      <c r="D550" s="5">
        <v>33.700000000000003</v>
      </c>
      <c r="E550" s="5">
        <v>52.6</v>
      </c>
      <c r="F550" s="5">
        <f t="shared" si="27"/>
        <v>18.899999999999999</v>
      </c>
      <c r="G550" s="7">
        <v>1.02588506</v>
      </c>
      <c r="H550" s="7">
        <v>7.5525056808684612</v>
      </c>
      <c r="I550" s="8">
        <v>30794.260847000001</v>
      </c>
      <c r="J550" s="12">
        <v>0.31924799999999998</v>
      </c>
      <c r="K550" s="7">
        <v>72.07574292216043</v>
      </c>
      <c r="L550" s="5">
        <v>0.62667423486709595</v>
      </c>
      <c r="M550" s="5">
        <v>62.667423486709595</v>
      </c>
      <c r="N550" s="16">
        <v>1.5520635</v>
      </c>
      <c r="O550" s="20">
        <v>4.2544674000000002</v>
      </c>
      <c r="P550" s="16">
        <v>2.7411683999999998</v>
      </c>
      <c r="Q550" s="25">
        <f t="shared" si="29"/>
        <v>0</v>
      </c>
      <c r="R550">
        <v>0</v>
      </c>
      <c r="S550" s="24">
        <v>0</v>
      </c>
      <c r="T550">
        <f>Q550/100</f>
        <v>0</v>
      </c>
      <c r="U550">
        <f>R550/100</f>
        <v>0</v>
      </c>
      <c r="V550">
        <f>S550/100</f>
        <v>0</v>
      </c>
    </row>
    <row r="551" spans="1:23" x14ac:dyDescent="0.25">
      <c r="A551" t="s">
        <v>9</v>
      </c>
      <c r="B551">
        <v>15</v>
      </c>
      <c r="C551">
        <v>2009</v>
      </c>
      <c r="D551" s="5">
        <v>33.4</v>
      </c>
      <c r="E551" s="5">
        <v>52.4</v>
      </c>
      <c r="F551" s="5">
        <f t="shared" si="27"/>
        <v>19</v>
      </c>
      <c r="G551" s="7">
        <v>0.99164470000000005</v>
      </c>
      <c r="H551" s="7">
        <v>9.432405951648553</v>
      </c>
      <c r="I551" s="8">
        <v>29804.610635000001</v>
      </c>
      <c r="J551" s="12">
        <v>-3.12208</v>
      </c>
      <c r="K551" s="7">
        <v>61.492693526775945</v>
      </c>
      <c r="L551" s="5">
        <v>0.62488263845443703</v>
      </c>
      <c r="M551" s="5">
        <v>62.488263845443704</v>
      </c>
      <c r="N551" s="16">
        <v>1.5438769999999999</v>
      </c>
      <c r="O551" s="20">
        <v>4.0628254999999998</v>
      </c>
      <c r="P551" s="16">
        <v>2.6315732999999999</v>
      </c>
      <c r="Q551" s="25">
        <f t="shared" si="29"/>
        <v>0</v>
      </c>
      <c r="R551">
        <v>0</v>
      </c>
      <c r="S551" s="24">
        <v>0</v>
      </c>
      <c r="T551">
        <f>Q551/100</f>
        <v>0</v>
      </c>
      <c r="U551">
        <f>R551/100</f>
        <v>0</v>
      </c>
      <c r="V551">
        <f>S551/100</f>
        <v>0</v>
      </c>
    </row>
    <row r="552" spans="1:23" x14ac:dyDescent="0.25">
      <c r="A552" t="s">
        <v>9</v>
      </c>
      <c r="B552">
        <v>15</v>
      </c>
      <c r="C552">
        <v>2010</v>
      </c>
      <c r="D552" s="5">
        <v>33.299999999999997</v>
      </c>
      <c r="E552" s="5">
        <v>52.2</v>
      </c>
      <c r="F552" s="5">
        <f t="shared" si="27"/>
        <v>18.900000000000006</v>
      </c>
      <c r="G552" s="7">
        <v>1.01402573</v>
      </c>
      <c r="H552" s="7">
        <v>10.770485008858506</v>
      </c>
      <c r="I552" s="8">
        <v>30308.450414999999</v>
      </c>
      <c r="J552" s="12">
        <v>1.737625</v>
      </c>
      <c r="K552" s="7">
        <v>67.783295455781072</v>
      </c>
      <c r="L552" s="5">
        <v>0.61905688047409102</v>
      </c>
      <c r="M552" s="5">
        <v>61.9056880474091</v>
      </c>
      <c r="N552" s="16">
        <v>1.4441667</v>
      </c>
      <c r="O552" s="20">
        <v>3.6888597999999999</v>
      </c>
      <c r="P552" s="16">
        <v>2.5543171999999998</v>
      </c>
      <c r="Q552" s="25">
        <f t="shared" si="29"/>
        <v>1.1142500000000002</v>
      </c>
      <c r="R552">
        <v>0.50910000000000011</v>
      </c>
      <c r="S552" s="24">
        <v>0.60515000000000008</v>
      </c>
      <c r="T552">
        <f>Q552/100</f>
        <v>1.1142500000000001E-2</v>
      </c>
      <c r="U552">
        <f>R552/100</f>
        <v>5.0910000000000009E-3</v>
      </c>
      <c r="V552">
        <f>S552/100</f>
        <v>6.0515000000000005E-3</v>
      </c>
    </row>
    <row r="553" spans="1:23" x14ac:dyDescent="0.25">
      <c r="A553" t="s">
        <v>9</v>
      </c>
      <c r="B553">
        <v>15</v>
      </c>
      <c r="C553">
        <v>2011</v>
      </c>
      <c r="D553" s="5">
        <v>33.299999999999997</v>
      </c>
      <c r="E553" s="5">
        <v>52.1</v>
      </c>
      <c r="F553" s="5">
        <f t="shared" ref="F553:F616" si="30">E553-D553</f>
        <v>18.800000000000004</v>
      </c>
      <c r="G553" s="7">
        <v>1.0365301099999999</v>
      </c>
      <c r="H553" s="7">
        <v>12.681636827701862</v>
      </c>
      <c r="I553" s="8">
        <v>29838.111394</v>
      </c>
      <c r="J553" s="12">
        <v>-1.6961649999999999</v>
      </c>
      <c r="K553" s="7">
        <v>73.099543998602897</v>
      </c>
      <c r="L553" s="5">
        <v>0.60887259244918801</v>
      </c>
      <c r="M553" s="5">
        <v>60.887259244918802</v>
      </c>
      <c r="N553" s="16">
        <v>1.4161435</v>
      </c>
      <c r="O553" s="20">
        <v>3.7044272999999999</v>
      </c>
      <c r="P553" s="16">
        <v>2.6158557999999998</v>
      </c>
      <c r="Q553" s="25">
        <f t="shared" si="29"/>
        <v>3.78477</v>
      </c>
      <c r="R553">
        <v>1.9212099999999999</v>
      </c>
      <c r="S553" s="24">
        <v>1.8635600000000001</v>
      </c>
      <c r="T553">
        <f>Q553/100</f>
        <v>3.7847699999999998E-2</v>
      </c>
      <c r="U553">
        <f>R553/100</f>
        <v>1.9212099999999999E-2</v>
      </c>
      <c r="V553">
        <f>S553/100</f>
        <v>1.8635600000000002E-2</v>
      </c>
    </row>
    <row r="554" spans="1:23" x14ac:dyDescent="0.25">
      <c r="A554" t="s">
        <v>9</v>
      </c>
      <c r="B554">
        <v>15</v>
      </c>
      <c r="C554">
        <v>2012</v>
      </c>
      <c r="D554" s="5">
        <v>33.299999999999997</v>
      </c>
      <c r="E554" s="5">
        <v>51.9</v>
      </c>
      <c r="F554" s="5">
        <f t="shared" si="30"/>
        <v>18.600000000000001</v>
      </c>
      <c r="G554" s="7">
        <v>1.0277333900000001</v>
      </c>
      <c r="H554" s="7">
        <v>15.530778164924506</v>
      </c>
      <c r="I554" s="8">
        <v>28744.018398</v>
      </c>
      <c r="J554" s="12">
        <v>-4.0572939999999997</v>
      </c>
      <c r="K554" s="7">
        <v>76.050838866708375</v>
      </c>
      <c r="L554" s="5">
        <v>0.58969610929489102</v>
      </c>
      <c r="M554" s="5">
        <v>58.9696109294891</v>
      </c>
      <c r="N554" s="16">
        <v>1.4852643999999999</v>
      </c>
      <c r="O554" s="20">
        <v>3.8102102000000002</v>
      </c>
      <c r="P554" s="16">
        <v>2.5653413</v>
      </c>
      <c r="Q554" s="25">
        <f t="shared" si="29"/>
        <v>5.0084800000000005</v>
      </c>
      <c r="R554">
        <v>3.75529</v>
      </c>
      <c r="S554" s="24">
        <v>1.25319</v>
      </c>
      <c r="T554">
        <f>Q554/100</f>
        <v>5.0084800000000006E-2</v>
      </c>
      <c r="U554">
        <f>R554/100</f>
        <v>3.75529E-2</v>
      </c>
      <c r="V554">
        <f>S554/100</f>
        <v>1.25319E-2</v>
      </c>
    </row>
    <row r="555" spans="1:23" x14ac:dyDescent="0.25">
      <c r="A555" t="s">
        <v>9</v>
      </c>
      <c r="B555">
        <v>15</v>
      </c>
      <c r="C555">
        <v>2013</v>
      </c>
      <c r="D555" s="5">
        <v>33.200000000000003</v>
      </c>
      <c r="E555" s="5">
        <v>51.8</v>
      </c>
      <c r="F555" s="5">
        <f t="shared" si="30"/>
        <v>18.599999999999994</v>
      </c>
      <c r="G555" s="7">
        <v>1.0027441669999999</v>
      </c>
      <c r="H555" s="7">
        <v>16.188488711593156</v>
      </c>
      <c r="I555" s="8">
        <v>28635.405566000001</v>
      </c>
      <c r="J555" s="12">
        <v>-0.92264400000000002</v>
      </c>
      <c r="K555" s="7">
        <v>78.114434619906433</v>
      </c>
      <c r="L555" s="5">
        <v>0.58337444067001298</v>
      </c>
      <c r="M555" s="5">
        <v>58.3374440670013</v>
      </c>
      <c r="N555" s="16">
        <v>1.5850515000000001</v>
      </c>
      <c r="O555" s="20">
        <v>4.0753208000000001</v>
      </c>
      <c r="P555" s="16">
        <v>2.5710967</v>
      </c>
      <c r="Q555" s="25">
        <f t="shared" si="29"/>
        <v>5.2297399999999996</v>
      </c>
      <c r="R555">
        <v>2.2201499999999998</v>
      </c>
      <c r="S555" s="24">
        <v>3.0095900000000002</v>
      </c>
      <c r="T555">
        <f>Q555/100</f>
        <v>5.2297399999999994E-2</v>
      </c>
      <c r="U555">
        <f>R555/100</f>
        <v>2.2201499999999999E-2</v>
      </c>
      <c r="V555">
        <f>S555/100</f>
        <v>3.0095900000000002E-2</v>
      </c>
    </row>
    <row r="556" spans="1:23" x14ac:dyDescent="0.25">
      <c r="A556" t="s">
        <v>9</v>
      </c>
      <c r="B556">
        <v>15</v>
      </c>
      <c r="C556">
        <v>2014</v>
      </c>
      <c r="D556" s="5">
        <v>33</v>
      </c>
      <c r="E556" s="5">
        <v>51.5</v>
      </c>
      <c r="F556" s="5">
        <f t="shared" si="30"/>
        <v>18.5</v>
      </c>
      <c r="G556" s="7">
        <v>0.99721846599999997</v>
      </c>
      <c r="H556" s="7">
        <v>13.897489149315939</v>
      </c>
      <c r="I556" s="8">
        <v>29018.203044000002</v>
      </c>
      <c r="J556" s="12">
        <v>0.79218999999999995</v>
      </c>
      <c r="K556" s="7">
        <v>80.282307876345726</v>
      </c>
      <c r="L556" s="5">
        <v>0.57884579896926902</v>
      </c>
      <c r="M556" s="5">
        <v>57.884579896926901</v>
      </c>
      <c r="N556" s="16">
        <v>1.5628934000000001</v>
      </c>
      <c r="O556" s="20">
        <v>3.8864852999999999</v>
      </c>
      <c r="P556" s="16">
        <v>2.4867244999999998</v>
      </c>
      <c r="Q556" s="25">
        <f t="shared" si="29"/>
        <v>1.6728200000000002</v>
      </c>
      <c r="R556">
        <v>1.5213000000000001</v>
      </c>
      <c r="S556" s="24">
        <v>0.15151999999999999</v>
      </c>
      <c r="T556">
        <f>Q556/100</f>
        <v>1.6728200000000002E-2</v>
      </c>
      <c r="U556">
        <f>R556/100</f>
        <v>1.5213000000000001E-2</v>
      </c>
      <c r="V556">
        <f>S556/100</f>
        <v>1.5152E-3</v>
      </c>
    </row>
    <row r="557" spans="1:23" x14ac:dyDescent="0.25">
      <c r="A557" t="s">
        <v>26</v>
      </c>
      <c r="B557">
        <v>16</v>
      </c>
      <c r="C557">
        <v>1978</v>
      </c>
      <c r="D557" s="5">
        <v>23</v>
      </c>
      <c r="E557" s="5">
        <v>43</v>
      </c>
      <c r="F557" s="5">
        <f t="shared" si="30"/>
        <v>20</v>
      </c>
      <c r="G557" s="7">
        <v>1.0999526399999999</v>
      </c>
      <c r="H557" s="7">
        <v>2.4581032071491218</v>
      </c>
      <c r="I557" s="8">
        <v>25959.643003000001</v>
      </c>
      <c r="J557" s="12">
        <v>1.7515480000000001</v>
      </c>
      <c r="K557" s="7">
        <v>50.358298884687834</v>
      </c>
      <c r="L557" s="5">
        <v>0.65104222297668501</v>
      </c>
      <c r="M557" s="5">
        <v>65.1042222976685</v>
      </c>
      <c r="N557" s="16">
        <v>1.3042530000000001</v>
      </c>
      <c r="O557" s="20">
        <v>1.9378408</v>
      </c>
      <c r="P557" s="16">
        <v>1.4857860000000001</v>
      </c>
      <c r="Q557" s="25">
        <f t="shared" si="29"/>
        <v>0</v>
      </c>
      <c r="R557">
        <v>0</v>
      </c>
      <c r="S557" s="24">
        <v>0</v>
      </c>
      <c r="T557">
        <f>Q557/100</f>
        <v>0</v>
      </c>
      <c r="U557">
        <f>R557/100</f>
        <v>0</v>
      </c>
      <c r="V557">
        <f>S557/100</f>
        <v>0</v>
      </c>
    </row>
    <row r="558" spans="1:23" x14ac:dyDescent="0.25">
      <c r="A558" t="s">
        <v>26</v>
      </c>
      <c r="B558">
        <v>16</v>
      </c>
      <c r="C558">
        <v>1979</v>
      </c>
      <c r="D558" s="5">
        <v>22.4</v>
      </c>
      <c r="E558" s="5">
        <v>42.5</v>
      </c>
      <c r="F558" s="5">
        <f t="shared" si="30"/>
        <v>20.100000000000001</v>
      </c>
      <c r="G558" s="7">
        <v>1.07209786</v>
      </c>
      <c r="H558" s="7">
        <v>2.2725147292621339</v>
      </c>
      <c r="I558" s="8">
        <v>26894.741929</v>
      </c>
      <c r="J558" s="12">
        <v>3.840004</v>
      </c>
      <c r="K558" s="7">
        <v>56.153593199207478</v>
      </c>
      <c r="L558" s="5">
        <v>0.63376826047897294</v>
      </c>
      <c r="M558" s="5">
        <v>63.376826047897296</v>
      </c>
      <c r="Q558" s="25">
        <f t="shared" si="29"/>
        <v>0</v>
      </c>
      <c r="R558">
        <v>0</v>
      </c>
      <c r="S558" s="24">
        <v>0</v>
      </c>
      <c r="T558">
        <f>Q558/100</f>
        <v>0</v>
      </c>
      <c r="U558">
        <f>R558/100</f>
        <v>0</v>
      </c>
      <c r="V558">
        <f>S558/100</f>
        <v>0</v>
      </c>
    </row>
    <row r="559" spans="1:23" x14ac:dyDescent="0.25">
      <c r="A559" t="s">
        <v>26</v>
      </c>
      <c r="B559">
        <v>16</v>
      </c>
      <c r="C559">
        <v>1980</v>
      </c>
      <c r="D559" s="5">
        <v>21.4</v>
      </c>
      <c r="E559" s="5">
        <v>42</v>
      </c>
      <c r="F559" s="5">
        <f t="shared" si="30"/>
        <v>20.6</v>
      </c>
      <c r="G559" s="7">
        <v>1.1370632000000001</v>
      </c>
      <c r="H559" s="7">
        <v>2.222632965204935</v>
      </c>
      <c r="I559" s="8">
        <v>27299.281663000002</v>
      </c>
      <c r="J559" s="12">
        <v>1.6999709999999999</v>
      </c>
      <c r="K559" s="7">
        <v>55.87916944310124</v>
      </c>
      <c r="L559" s="5">
        <v>0.62098324298858598</v>
      </c>
      <c r="M559" s="5">
        <v>62.0983242988586</v>
      </c>
      <c r="N559" s="16">
        <v>1.2841928</v>
      </c>
      <c r="O559" s="20">
        <v>1.9557175</v>
      </c>
      <c r="P559" s="16">
        <v>1.5229158</v>
      </c>
      <c r="Q559" s="25">
        <f t="shared" si="29"/>
        <v>0</v>
      </c>
      <c r="R559">
        <v>0</v>
      </c>
      <c r="S559" s="24">
        <v>0</v>
      </c>
      <c r="T559">
        <f>Q559/100</f>
        <v>0</v>
      </c>
      <c r="U559">
        <f>R559/100</f>
        <v>0</v>
      </c>
      <c r="V559">
        <f>S559/100</f>
        <v>0</v>
      </c>
    </row>
    <row r="560" spans="1:23" x14ac:dyDescent="0.25">
      <c r="A560" t="s">
        <v>26</v>
      </c>
      <c r="B560">
        <v>16</v>
      </c>
      <c r="C560">
        <v>1981</v>
      </c>
      <c r="D560" s="5">
        <v>20.6</v>
      </c>
      <c r="E560" s="5">
        <v>41.7</v>
      </c>
      <c r="F560" s="5">
        <f t="shared" si="30"/>
        <v>21.1</v>
      </c>
      <c r="G560" s="7">
        <v>1.1210393999999999</v>
      </c>
      <c r="H560" s="7">
        <v>2.7669076009391835</v>
      </c>
      <c r="I560" s="8">
        <v>27390.486234</v>
      </c>
      <c r="J560" s="12">
        <v>0.45483000000000001</v>
      </c>
      <c r="K560" s="7">
        <v>55.742140343460946</v>
      </c>
      <c r="L560" s="5">
        <v>0.62170350551605202</v>
      </c>
      <c r="M560" s="5">
        <v>62.170350551605203</v>
      </c>
      <c r="N560" s="16">
        <v>1.3051146</v>
      </c>
      <c r="O560" s="20">
        <v>1.9670782</v>
      </c>
      <c r="P560" s="16">
        <v>1.5072072000000001</v>
      </c>
      <c r="Q560" s="25">
        <f t="shared" si="29"/>
        <v>0</v>
      </c>
      <c r="R560">
        <v>0</v>
      </c>
      <c r="S560" s="24">
        <v>0</v>
      </c>
      <c r="T560">
        <f>Q560/100</f>
        <v>0</v>
      </c>
      <c r="U560">
        <f>R560/100</f>
        <v>0</v>
      </c>
      <c r="V560">
        <f>S560/100</f>
        <v>0</v>
      </c>
      <c r="W560">
        <v>0.55962999999999996</v>
      </c>
    </row>
    <row r="561" spans="1:26" x14ac:dyDescent="0.25">
      <c r="A561" t="s">
        <v>26</v>
      </c>
      <c r="B561">
        <v>16</v>
      </c>
      <c r="C561">
        <v>1982</v>
      </c>
      <c r="D561" s="5">
        <v>21.1</v>
      </c>
      <c r="E561" s="5">
        <v>41.5</v>
      </c>
      <c r="F561" s="5">
        <f t="shared" si="30"/>
        <v>20.399999999999999</v>
      </c>
      <c r="G561" s="7">
        <v>1.0858918500000001</v>
      </c>
      <c r="H561" s="7">
        <v>3.5296269202633503</v>
      </c>
      <c r="I561" s="8">
        <v>27715.845402999999</v>
      </c>
      <c r="J561" s="12">
        <v>1.2486649999999999</v>
      </c>
      <c r="K561" s="7">
        <v>60.656702604125535</v>
      </c>
      <c r="L561" s="5">
        <v>0.59694939851760898</v>
      </c>
      <c r="M561" s="5">
        <v>59.6949398517609</v>
      </c>
      <c r="N561" s="16">
        <v>1.2973451</v>
      </c>
      <c r="O561" s="20">
        <v>1.9321534</v>
      </c>
      <c r="P561" s="16">
        <v>1.4893133000000001</v>
      </c>
      <c r="Q561" s="25">
        <f t="shared" si="29"/>
        <v>0</v>
      </c>
      <c r="R561">
        <v>0</v>
      </c>
      <c r="S561" s="24">
        <v>0</v>
      </c>
      <c r="T561">
        <f>Q561/100</f>
        <v>0</v>
      </c>
      <c r="U561">
        <f>R561/100</f>
        <v>0</v>
      </c>
      <c r="V561">
        <f>S561/100</f>
        <v>0</v>
      </c>
    </row>
    <row r="562" spans="1:26" x14ac:dyDescent="0.25">
      <c r="A562" t="s">
        <v>26</v>
      </c>
      <c r="B562">
        <v>16</v>
      </c>
      <c r="C562">
        <v>1983</v>
      </c>
      <c r="D562" s="5">
        <v>21.5</v>
      </c>
      <c r="E562" s="5">
        <v>41.5</v>
      </c>
      <c r="F562" s="5">
        <f t="shared" si="30"/>
        <v>20</v>
      </c>
      <c r="G562" s="7">
        <v>1.08873021</v>
      </c>
      <c r="H562" s="7">
        <v>3.8929717185046981</v>
      </c>
      <c r="I562" s="8">
        <v>28229.059971999999</v>
      </c>
      <c r="J562" s="12">
        <v>1.900639</v>
      </c>
      <c r="K562" s="7">
        <v>64.291171385469411</v>
      </c>
      <c r="L562" s="5">
        <v>0.57761424779892001</v>
      </c>
      <c r="M562" s="5">
        <v>57.761424779892003</v>
      </c>
      <c r="N562" s="16">
        <v>1.2853801</v>
      </c>
      <c r="O562" s="20">
        <v>1.8783626</v>
      </c>
      <c r="P562" s="16">
        <v>1.4613285</v>
      </c>
      <c r="Q562" s="25">
        <f t="shared" si="29"/>
        <v>0</v>
      </c>
      <c r="R562">
        <v>0</v>
      </c>
      <c r="S562" s="24">
        <v>0</v>
      </c>
      <c r="T562">
        <f>Q562/100</f>
        <v>0</v>
      </c>
      <c r="U562">
        <f>R562/100</f>
        <v>0</v>
      </c>
      <c r="V562">
        <f>S562/100</f>
        <v>0</v>
      </c>
    </row>
    <row r="563" spans="1:26" x14ac:dyDescent="0.25">
      <c r="A563" t="s">
        <v>26</v>
      </c>
      <c r="B563">
        <v>16</v>
      </c>
      <c r="C563">
        <v>1984</v>
      </c>
      <c r="D563" s="5">
        <v>21.9</v>
      </c>
      <c r="E563" s="5">
        <v>42</v>
      </c>
      <c r="F563" s="5">
        <f t="shared" si="30"/>
        <v>20.100000000000001</v>
      </c>
      <c r="G563" s="7">
        <v>1.08044243</v>
      </c>
      <c r="H563" s="7">
        <v>3.4906666061829488</v>
      </c>
      <c r="I563" s="8">
        <v>29394.784339000002</v>
      </c>
      <c r="J563" s="12">
        <v>4.2295350000000003</v>
      </c>
      <c r="K563" s="7">
        <v>64.166539993872689</v>
      </c>
      <c r="L563" s="5">
        <v>0.56359839439392101</v>
      </c>
      <c r="M563" s="5">
        <v>56.359839439392104</v>
      </c>
      <c r="N563" s="16">
        <v>1.3129454</v>
      </c>
      <c r="O563" s="20">
        <v>1.9435867</v>
      </c>
      <c r="P563" s="16">
        <v>1.4803256</v>
      </c>
      <c r="Q563" s="25">
        <f t="shared" si="29"/>
        <v>0.95806999999999998</v>
      </c>
      <c r="R563">
        <v>0.73116000000000003</v>
      </c>
      <c r="S563" s="24">
        <v>0.22691</v>
      </c>
      <c r="T563">
        <f>Q563/100</f>
        <v>9.5806999999999993E-3</v>
      </c>
      <c r="U563">
        <f>R563/100</f>
        <v>7.3116000000000006E-3</v>
      </c>
      <c r="V563">
        <f>S563/100</f>
        <v>2.2691E-3</v>
      </c>
    </row>
    <row r="564" spans="1:26" x14ac:dyDescent="0.25">
      <c r="A564" t="s">
        <v>26</v>
      </c>
      <c r="B564">
        <v>16</v>
      </c>
      <c r="C564">
        <v>1985</v>
      </c>
      <c r="D564" s="5">
        <v>22.2</v>
      </c>
      <c r="E564" s="5">
        <v>42.4</v>
      </c>
      <c r="F564" s="5">
        <f t="shared" si="30"/>
        <v>20.2</v>
      </c>
      <c r="G564" s="7">
        <v>1.0737257499999999</v>
      </c>
      <c r="H564" s="7">
        <v>3.0927370271854286</v>
      </c>
      <c r="I564" s="8">
        <v>29983.068525999999</v>
      </c>
      <c r="J564" s="12">
        <v>2.160374</v>
      </c>
      <c r="K564" s="7">
        <v>63.988817663635231</v>
      </c>
      <c r="L564" s="5">
        <v>0.56923216581344604</v>
      </c>
      <c r="M564" s="5">
        <v>56.923216581344604</v>
      </c>
      <c r="N564" s="16">
        <v>1.2842789999999999</v>
      </c>
      <c r="O564" s="20">
        <v>1.9781324</v>
      </c>
      <c r="P564" s="16">
        <v>1.5402669</v>
      </c>
      <c r="Q564" s="25">
        <f t="shared" si="29"/>
        <v>0</v>
      </c>
      <c r="R564">
        <v>0</v>
      </c>
      <c r="S564" s="24">
        <v>0</v>
      </c>
      <c r="T564">
        <f>Q564/100</f>
        <v>0</v>
      </c>
      <c r="U564">
        <f>R564/100</f>
        <v>0</v>
      </c>
      <c r="V564">
        <f>S564/100</f>
        <v>0</v>
      </c>
    </row>
    <row r="565" spans="1:26" x14ac:dyDescent="0.25">
      <c r="A565" t="s">
        <v>26</v>
      </c>
      <c r="B565">
        <v>16</v>
      </c>
      <c r="C565">
        <v>1986</v>
      </c>
      <c r="D565" s="5">
        <v>22.2</v>
      </c>
      <c r="E565" s="5">
        <v>42.8</v>
      </c>
      <c r="F565" s="5">
        <f t="shared" si="30"/>
        <v>20.599999999999998</v>
      </c>
      <c r="G565" s="7">
        <v>1.0423591000000001</v>
      </c>
      <c r="H565" s="7">
        <v>2.8934079432236937</v>
      </c>
      <c r="I565" s="8">
        <v>30716.437495999999</v>
      </c>
      <c r="J565" s="12">
        <v>2.6913230000000001</v>
      </c>
      <c r="K565" s="7">
        <v>58.231085970852291</v>
      </c>
      <c r="L565" s="5">
        <v>0.57101583480835005</v>
      </c>
      <c r="M565" s="5">
        <v>57.101583480835004</v>
      </c>
      <c r="N565" s="16">
        <v>1.3110853</v>
      </c>
      <c r="O565" s="20">
        <v>1.9953569</v>
      </c>
      <c r="P565" s="16">
        <v>1.5219123999999999</v>
      </c>
      <c r="Q565" s="25">
        <f t="shared" si="29"/>
        <v>0</v>
      </c>
      <c r="R565">
        <v>0</v>
      </c>
      <c r="S565" s="24">
        <v>0</v>
      </c>
      <c r="T565">
        <f>Q565/100</f>
        <v>0</v>
      </c>
      <c r="U565">
        <f>R565/100</f>
        <v>0</v>
      </c>
      <c r="V565">
        <f>S565/100</f>
        <v>0</v>
      </c>
    </row>
    <row r="566" spans="1:26" x14ac:dyDescent="0.25">
      <c r="A566" t="s">
        <v>26</v>
      </c>
      <c r="B566">
        <v>16</v>
      </c>
      <c r="C566">
        <v>1987</v>
      </c>
      <c r="D566" s="5">
        <v>21.8</v>
      </c>
      <c r="E566" s="5">
        <v>43.1</v>
      </c>
      <c r="F566" s="5">
        <f t="shared" si="30"/>
        <v>21.3</v>
      </c>
      <c r="G566" s="7">
        <v>1.0418857100000001</v>
      </c>
      <c r="H566" s="7">
        <v>2.3087369850611137</v>
      </c>
      <c r="I566" s="8">
        <v>31640.771313000001</v>
      </c>
      <c r="J566" s="12">
        <v>3.3538429999999999</v>
      </c>
      <c r="K566" s="7">
        <v>58.676860898912111</v>
      </c>
      <c r="L566" s="5">
        <v>0.57482248544693004</v>
      </c>
      <c r="M566" s="5">
        <v>57.482248544693007</v>
      </c>
      <c r="N566" s="16">
        <v>1.3182076</v>
      </c>
      <c r="O566" s="20">
        <v>2.0136132</v>
      </c>
      <c r="P566" s="16">
        <v>1.5275387</v>
      </c>
      <c r="Q566" s="25">
        <f t="shared" si="29"/>
        <v>0</v>
      </c>
      <c r="R566">
        <v>0</v>
      </c>
      <c r="S566" s="24">
        <v>0</v>
      </c>
      <c r="T566">
        <f>Q566/100</f>
        <v>0</v>
      </c>
      <c r="U566">
        <f>R566/100</f>
        <v>0</v>
      </c>
      <c r="V566">
        <f>S566/100</f>
        <v>0</v>
      </c>
      <c r="W566">
        <v>0.64493</v>
      </c>
      <c r="X566">
        <v>0.37</v>
      </c>
      <c r="Y566">
        <v>0.37</v>
      </c>
      <c r="Z566" s="5">
        <f>Y566*100</f>
        <v>37</v>
      </c>
    </row>
    <row r="567" spans="1:26" x14ac:dyDescent="0.25">
      <c r="A567" t="s">
        <v>26</v>
      </c>
      <c r="B567">
        <v>16</v>
      </c>
      <c r="C567">
        <v>1988</v>
      </c>
      <c r="D567" s="5">
        <v>22.3</v>
      </c>
      <c r="E567" s="5">
        <v>43.4</v>
      </c>
      <c r="F567" s="5">
        <f t="shared" si="30"/>
        <v>21.099999999999998</v>
      </c>
      <c r="G567" s="7">
        <v>1.0582489900000001</v>
      </c>
      <c r="H567" s="7">
        <v>1.8838304552590266</v>
      </c>
      <c r="I567" s="8">
        <v>32304.297603999999</v>
      </c>
      <c r="J567" s="12">
        <v>2.5590389999999998</v>
      </c>
      <c r="K567" s="7">
        <v>58.346781720310339</v>
      </c>
      <c r="L567" s="5">
        <v>0.566728115081787</v>
      </c>
      <c r="M567" s="5">
        <v>56.672811508178697</v>
      </c>
      <c r="N567" s="16">
        <v>1.3312849</v>
      </c>
      <c r="O567" s="20">
        <v>2.0212290999999998</v>
      </c>
      <c r="P567" s="16">
        <v>1.5182542999999999</v>
      </c>
      <c r="Q567" s="25">
        <f t="shared" si="29"/>
        <v>0</v>
      </c>
      <c r="R567">
        <v>0</v>
      </c>
      <c r="S567" s="24">
        <v>0</v>
      </c>
      <c r="T567">
        <f>Q567/100</f>
        <v>0</v>
      </c>
      <c r="U567">
        <f>R567/100</f>
        <v>0</v>
      </c>
      <c r="V567">
        <f>S567/100</f>
        <v>0</v>
      </c>
      <c r="Y567">
        <v>0.37140000000000001</v>
      </c>
      <c r="Z567" s="5">
        <f t="shared" ref="Z567:Z593" si="31">Y567*100</f>
        <v>37.14</v>
      </c>
    </row>
    <row r="568" spans="1:26" x14ac:dyDescent="0.25">
      <c r="A568" t="s">
        <v>26</v>
      </c>
      <c r="B568">
        <v>16</v>
      </c>
      <c r="C568">
        <v>1989</v>
      </c>
      <c r="D568" s="5">
        <v>23</v>
      </c>
      <c r="E568" s="5">
        <v>44</v>
      </c>
      <c r="F568" s="5">
        <f t="shared" si="30"/>
        <v>21</v>
      </c>
      <c r="G568" s="7">
        <v>1.0644327600000001</v>
      </c>
      <c r="H568" s="7">
        <v>1.6168327796234772</v>
      </c>
      <c r="I568" s="8">
        <v>32939.351146000001</v>
      </c>
      <c r="J568" s="12">
        <v>2.6548069999999999</v>
      </c>
      <c r="K568" s="7">
        <v>59.038032864883583</v>
      </c>
      <c r="L568" s="5">
        <v>0.57538300752639804</v>
      </c>
      <c r="M568" s="5">
        <v>57.538300752639806</v>
      </c>
      <c r="N568" s="16">
        <v>1.3317047</v>
      </c>
      <c r="O568" s="20">
        <v>2.0304017000000001</v>
      </c>
      <c r="P568" s="16">
        <v>1.5246637000000001</v>
      </c>
      <c r="Q568" s="25">
        <f t="shared" si="29"/>
        <v>0</v>
      </c>
      <c r="R568">
        <v>0</v>
      </c>
      <c r="S568" s="24">
        <v>0</v>
      </c>
      <c r="T568">
        <f>Q568/100</f>
        <v>0</v>
      </c>
      <c r="U568">
        <f>R568/100</f>
        <v>0</v>
      </c>
      <c r="V568">
        <f>S568/100</f>
        <v>0</v>
      </c>
      <c r="Y568">
        <v>0.37280000000000002</v>
      </c>
      <c r="Z568" s="5">
        <f t="shared" si="31"/>
        <v>37.28</v>
      </c>
    </row>
    <row r="569" spans="1:26" x14ac:dyDescent="0.25">
      <c r="A569" t="s">
        <v>26</v>
      </c>
      <c r="B569">
        <v>16</v>
      </c>
      <c r="C569">
        <v>1990</v>
      </c>
      <c r="D569" s="5">
        <v>23.5</v>
      </c>
      <c r="E569" s="5">
        <v>44.4</v>
      </c>
      <c r="F569" s="5">
        <f t="shared" si="30"/>
        <v>20.9</v>
      </c>
      <c r="G569" s="7">
        <v>1.1036655</v>
      </c>
      <c r="H569" s="7">
        <v>1.8060420315236427</v>
      </c>
      <c r="I569" s="8">
        <v>32932.017922999999</v>
      </c>
      <c r="J569" s="12">
        <v>0.75467499999999998</v>
      </c>
      <c r="K569" s="7">
        <v>55.823221229150164</v>
      </c>
      <c r="L569" s="5">
        <v>0.59676533937454201</v>
      </c>
      <c r="M569" s="5">
        <v>59.676533937454202</v>
      </c>
      <c r="N569" s="16">
        <v>1.3124027</v>
      </c>
      <c r="O569" s="20">
        <v>1.9896212</v>
      </c>
      <c r="P569" s="16">
        <v>1.5160142000000001</v>
      </c>
      <c r="Q569" s="25">
        <f t="shared" si="29"/>
        <v>0</v>
      </c>
      <c r="R569">
        <v>0</v>
      </c>
      <c r="S569" s="24">
        <v>0</v>
      </c>
      <c r="T569">
        <f>Q569/100</f>
        <v>0</v>
      </c>
      <c r="U569">
        <f>R569/100</f>
        <v>0</v>
      </c>
      <c r="V569">
        <f>S569/100</f>
        <v>0</v>
      </c>
      <c r="Y569">
        <v>0.37419999999999998</v>
      </c>
      <c r="Z569" s="5">
        <f t="shared" si="31"/>
        <v>37.419999999999995</v>
      </c>
    </row>
    <row r="570" spans="1:26" x14ac:dyDescent="0.25">
      <c r="A570" t="s">
        <v>26</v>
      </c>
      <c r="B570">
        <v>16</v>
      </c>
      <c r="C570">
        <v>1991</v>
      </c>
      <c r="D570" s="5">
        <v>22.9</v>
      </c>
      <c r="E570" s="5">
        <v>44.6</v>
      </c>
      <c r="F570" s="5">
        <f t="shared" si="30"/>
        <v>21.700000000000003</v>
      </c>
      <c r="G570" s="7">
        <v>1.0944462800000001</v>
      </c>
      <c r="H570" s="7">
        <v>3.2563256325632564</v>
      </c>
      <c r="I570" s="8">
        <v>32335.503972999999</v>
      </c>
      <c r="J570" s="12">
        <v>-1.145975</v>
      </c>
      <c r="K570" s="7">
        <v>51.089652048588739</v>
      </c>
      <c r="L570" s="5">
        <v>0.59407508373260498</v>
      </c>
      <c r="M570" s="5">
        <v>59.407508373260498</v>
      </c>
      <c r="N570" s="16">
        <v>1.3615470999999999</v>
      </c>
      <c r="O570" s="20">
        <v>2.1160313999999998</v>
      </c>
      <c r="P570" s="16">
        <v>1.5541374999999999</v>
      </c>
      <c r="Q570" s="25">
        <f t="shared" si="29"/>
        <v>0</v>
      </c>
      <c r="R570">
        <v>0</v>
      </c>
      <c r="S570" s="24">
        <v>0</v>
      </c>
      <c r="T570">
        <f>Q570/100</f>
        <v>0</v>
      </c>
      <c r="U570">
        <f>R570/100</f>
        <v>0</v>
      </c>
      <c r="V570">
        <f>S570/100</f>
        <v>0</v>
      </c>
      <c r="Y570">
        <v>0.37559999999999999</v>
      </c>
      <c r="Z570" s="5">
        <f t="shared" si="31"/>
        <v>37.56</v>
      </c>
    </row>
    <row r="571" spans="1:26" x14ac:dyDescent="0.25">
      <c r="A571" t="s">
        <v>26</v>
      </c>
      <c r="B571">
        <v>16</v>
      </c>
      <c r="C571">
        <v>1992</v>
      </c>
      <c r="D571" s="5">
        <v>23</v>
      </c>
      <c r="E571" s="5">
        <v>45.9</v>
      </c>
      <c r="F571" s="5">
        <f t="shared" si="30"/>
        <v>22.9</v>
      </c>
      <c r="G571" s="7">
        <v>1.02374367</v>
      </c>
      <c r="H571" s="7">
        <v>5.8322147651006713</v>
      </c>
      <c r="I571" s="8">
        <v>31772.818692000001</v>
      </c>
      <c r="J571" s="12">
        <v>-1.158593</v>
      </c>
      <c r="K571" s="7">
        <v>50.772088789564748</v>
      </c>
      <c r="L571" s="5">
        <v>0.57613152265548695</v>
      </c>
      <c r="M571" s="5">
        <v>57.613152265548692</v>
      </c>
      <c r="N571" s="16">
        <v>1.3405676</v>
      </c>
      <c r="O571" s="20">
        <v>2.1062883000000001</v>
      </c>
      <c r="P571" s="16">
        <v>1.5711914</v>
      </c>
      <c r="Q571" s="25">
        <f t="shared" si="29"/>
        <v>0</v>
      </c>
      <c r="R571">
        <v>0</v>
      </c>
      <c r="S571" s="24">
        <v>0</v>
      </c>
      <c r="T571">
        <f>Q571/100</f>
        <v>0</v>
      </c>
      <c r="U571">
        <f>R571/100</f>
        <v>0</v>
      </c>
      <c r="V571">
        <f>S571/100</f>
        <v>0</v>
      </c>
      <c r="W571">
        <v>0.66452999999999995</v>
      </c>
      <c r="X571">
        <v>0.377</v>
      </c>
      <c r="Y571">
        <v>0.377</v>
      </c>
      <c r="Z571" s="5">
        <f t="shared" si="31"/>
        <v>37.700000000000003</v>
      </c>
    </row>
    <row r="572" spans="1:26" x14ac:dyDescent="0.25">
      <c r="A572" t="s">
        <v>26</v>
      </c>
      <c r="B572">
        <v>16</v>
      </c>
      <c r="C572">
        <v>1993</v>
      </c>
      <c r="D572" s="5">
        <v>23.4</v>
      </c>
      <c r="E572" s="5">
        <v>46.9</v>
      </c>
      <c r="F572" s="5">
        <f t="shared" si="30"/>
        <v>23.5</v>
      </c>
      <c r="G572" s="7">
        <v>1.0472817299999999</v>
      </c>
      <c r="H572" s="7">
        <v>9.4817351598173527</v>
      </c>
      <c r="I572" s="8">
        <v>30935.573257</v>
      </c>
      <c r="J572" s="12">
        <v>-2.0656159999999999</v>
      </c>
      <c r="K572" s="7">
        <v>58.134927218746782</v>
      </c>
      <c r="L572" s="5">
        <v>0.54834634065628096</v>
      </c>
      <c r="M572" s="5">
        <v>54.834634065628094</v>
      </c>
      <c r="N572" s="16">
        <v>1.3413948</v>
      </c>
      <c r="O572" s="20">
        <v>2.1344207000000002</v>
      </c>
      <c r="P572" s="16">
        <v>1.5911949999999999</v>
      </c>
      <c r="Q572" s="25">
        <f t="shared" si="29"/>
        <v>1.4221300000000001</v>
      </c>
      <c r="R572">
        <v>1.01756</v>
      </c>
      <c r="S572" s="24">
        <v>0.40456999999999999</v>
      </c>
      <c r="T572">
        <f>Q572/100</f>
        <v>1.4221300000000001E-2</v>
      </c>
      <c r="U572">
        <f>R572/100</f>
        <v>1.01756E-2</v>
      </c>
      <c r="V572">
        <f>S572/100</f>
        <v>4.0457000000000002E-3</v>
      </c>
      <c r="Y572">
        <v>0.37933333333333302</v>
      </c>
      <c r="Z572" s="5">
        <f t="shared" si="31"/>
        <v>37.933333333333302</v>
      </c>
    </row>
    <row r="573" spans="1:26" x14ac:dyDescent="0.25">
      <c r="A573" t="s">
        <v>26</v>
      </c>
      <c r="B573">
        <v>16</v>
      </c>
      <c r="C573">
        <v>1994</v>
      </c>
      <c r="D573" s="5">
        <v>23.7</v>
      </c>
      <c r="E573" s="5">
        <v>47.9</v>
      </c>
      <c r="F573" s="5">
        <f t="shared" si="30"/>
        <v>24.2</v>
      </c>
      <c r="G573" s="7">
        <v>1.02158138</v>
      </c>
      <c r="H573" s="7">
        <v>9.7841065686724846</v>
      </c>
      <c r="I573" s="8">
        <v>31923.948076000001</v>
      </c>
      <c r="J573" s="12">
        <v>3.9299729999999999</v>
      </c>
      <c r="K573" s="7">
        <v>63.841631757848326</v>
      </c>
      <c r="L573" s="5">
        <v>0.53750622272491499</v>
      </c>
      <c r="M573" s="5">
        <v>53.750622272491498</v>
      </c>
      <c r="N573" s="16">
        <v>1.3577418000000001</v>
      </c>
      <c r="O573" s="20">
        <v>2.1844606</v>
      </c>
      <c r="P573" s="16">
        <v>1.6088925000000001</v>
      </c>
      <c r="Q573" s="25">
        <f t="shared" si="29"/>
        <v>0.95626</v>
      </c>
      <c r="R573">
        <v>0.7601</v>
      </c>
      <c r="S573" s="24">
        <v>0.19616</v>
      </c>
      <c r="T573">
        <f>Q573/100</f>
        <v>9.5625999999999992E-3</v>
      </c>
      <c r="U573">
        <f>R573/100</f>
        <v>7.6010000000000001E-3</v>
      </c>
      <c r="V573">
        <f>S573/100</f>
        <v>1.9616E-3</v>
      </c>
      <c r="Y573">
        <v>0.38166666666666599</v>
      </c>
      <c r="Z573" s="5">
        <f t="shared" si="31"/>
        <v>38.1666666666666</v>
      </c>
    </row>
    <row r="574" spans="1:26" x14ac:dyDescent="0.25">
      <c r="A574" t="s">
        <v>26</v>
      </c>
      <c r="B574">
        <v>16</v>
      </c>
      <c r="C574">
        <v>1995</v>
      </c>
      <c r="D574" s="5">
        <v>23.1</v>
      </c>
      <c r="E574" s="5">
        <v>48.6</v>
      </c>
      <c r="F574" s="5">
        <f t="shared" si="30"/>
        <v>25.5</v>
      </c>
      <c r="G574" s="7">
        <v>1.0245514899999999</v>
      </c>
      <c r="H574" s="7">
        <v>9.22341152357094</v>
      </c>
      <c r="I574" s="8">
        <v>33006.551745999997</v>
      </c>
      <c r="J574" s="12">
        <v>3.9351929999999999</v>
      </c>
      <c r="K574" s="7">
        <v>68.600457422042368</v>
      </c>
      <c r="L574" s="5">
        <v>0.51824998855590798</v>
      </c>
      <c r="M574" s="5">
        <v>51.824998855590799</v>
      </c>
      <c r="N574" s="16">
        <v>1.3905257</v>
      </c>
      <c r="O574" s="20">
        <v>2.2143269999999999</v>
      </c>
      <c r="P574" s="16">
        <v>1.5924387</v>
      </c>
      <c r="Q574" s="25">
        <f t="shared" si="29"/>
        <v>3.1535900000000003</v>
      </c>
      <c r="R574">
        <v>1.8929800000000001</v>
      </c>
      <c r="S574" s="24">
        <v>1.26061</v>
      </c>
      <c r="T574">
        <f>Q574/100</f>
        <v>3.1535900000000006E-2</v>
      </c>
      <c r="U574">
        <f>R574/100</f>
        <v>1.89298E-2</v>
      </c>
      <c r="V574">
        <f>S574/100</f>
        <v>1.26061E-2</v>
      </c>
      <c r="W574">
        <v>0.68259000000000003</v>
      </c>
      <c r="X574">
        <v>0.38400000000000001</v>
      </c>
      <c r="Y574">
        <v>0.38400000000000001</v>
      </c>
      <c r="Z574" s="5">
        <f t="shared" si="31"/>
        <v>38.4</v>
      </c>
    </row>
    <row r="575" spans="1:26" x14ac:dyDescent="0.25">
      <c r="A575" t="s">
        <v>26</v>
      </c>
      <c r="B575">
        <v>16</v>
      </c>
      <c r="C575">
        <v>1996</v>
      </c>
      <c r="D575" s="5">
        <v>24.2</v>
      </c>
      <c r="E575" s="5">
        <v>48.7</v>
      </c>
      <c r="F575" s="5">
        <f t="shared" si="30"/>
        <v>24.500000000000004</v>
      </c>
      <c r="G575" s="7">
        <v>1.00533132</v>
      </c>
      <c r="H575" s="7">
        <v>9.9829642248722319</v>
      </c>
      <c r="I575" s="8">
        <v>33474.404171000002</v>
      </c>
      <c r="J575" s="12">
        <v>1.579456</v>
      </c>
      <c r="K575" s="7">
        <v>66.538508326884525</v>
      </c>
      <c r="L575" s="5">
        <v>0.53202313184738204</v>
      </c>
      <c r="M575" s="5">
        <v>53.202313184738202</v>
      </c>
      <c r="N575" s="16">
        <v>1.3967991</v>
      </c>
      <c r="O575" s="20">
        <v>2.2682118999999998</v>
      </c>
      <c r="P575" s="16">
        <v>1.6238641</v>
      </c>
      <c r="Q575" s="25">
        <f t="shared" si="29"/>
        <v>1.8020499999999999</v>
      </c>
      <c r="R575">
        <v>1.0812299999999999</v>
      </c>
      <c r="S575" s="24">
        <v>0.72082000000000013</v>
      </c>
      <c r="T575">
        <f>Q575/100</f>
        <v>1.8020499999999998E-2</v>
      </c>
      <c r="U575">
        <f>R575/100</f>
        <v>1.0812299999999999E-2</v>
      </c>
      <c r="V575">
        <f>S575/100</f>
        <v>7.2082000000000014E-3</v>
      </c>
      <c r="Y575">
        <v>0.38779999999999998</v>
      </c>
      <c r="Z575" s="5">
        <f t="shared" si="31"/>
        <v>38.78</v>
      </c>
    </row>
    <row r="576" spans="1:26" x14ac:dyDescent="0.25">
      <c r="A576" t="s">
        <v>26</v>
      </c>
      <c r="B576">
        <v>16</v>
      </c>
      <c r="C576">
        <v>1997</v>
      </c>
      <c r="D576" s="5">
        <v>24.8</v>
      </c>
      <c r="E576" s="5">
        <v>48.8</v>
      </c>
      <c r="F576" s="5">
        <f t="shared" si="30"/>
        <v>23.999999999999996</v>
      </c>
      <c r="G576" s="7">
        <v>1.006584103</v>
      </c>
      <c r="H576" s="7">
        <v>10.194174757281553</v>
      </c>
      <c r="I576" s="8">
        <v>34482.353237000003</v>
      </c>
      <c r="J576" s="12">
        <v>3.0705269999999998</v>
      </c>
      <c r="K576" s="7">
        <v>72.008710140191639</v>
      </c>
      <c r="L576" s="5">
        <v>0.53012573719024703</v>
      </c>
      <c r="M576" s="5">
        <v>53.012573719024701</v>
      </c>
      <c r="N576" s="16">
        <v>1.3798942000000001</v>
      </c>
      <c r="O576" s="20">
        <v>2.2169311999999999</v>
      </c>
      <c r="P576" s="16">
        <v>1.6065951000000001</v>
      </c>
      <c r="Q576" s="25">
        <f t="shared" si="29"/>
        <v>1.48987</v>
      </c>
      <c r="R576">
        <v>0.94917000000000007</v>
      </c>
      <c r="S576" s="24">
        <v>0.54069999999999996</v>
      </c>
      <c r="T576">
        <f>Q576/100</f>
        <v>1.4898700000000001E-2</v>
      </c>
      <c r="U576">
        <f>R576/100</f>
        <v>9.4917000000000005E-3</v>
      </c>
      <c r="V576">
        <f>S576/100</f>
        <v>5.4069999999999995E-3</v>
      </c>
      <c r="Y576">
        <v>0.3916</v>
      </c>
      <c r="Z576" s="5">
        <f t="shared" si="31"/>
        <v>39.160000000000004</v>
      </c>
    </row>
    <row r="577" spans="1:26" x14ac:dyDescent="0.25">
      <c r="A577" t="s">
        <v>26</v>
      </c>
      <c r="B577">
        <v>16</v>
      </c>
      <c r="C577">
        <v>1998</v>
      </c>
      <c r="D577" s="5">
        <v>25.1</v>
      </c>
      <c r="E577" s="5">
        <v>48.7</v>
      </c>
      <c r="F577" s="5">
        <f t="shared" si="30"/>
        <v>23.6</v>
      </c>
      <c r="G577" s="7">
        <v>0.99732867300000005</v>
      </c>
      <c r="H577" s="7">
        <v>8.4656084656084651</v>
      </c>
      <c r="I577" s="8">
        <v>35949.262992999997</v>
      </c>
      <c r="J577" s="12">
        <v>4.3118359999999996</v>
      </c>
      <c r="K577" s="7">
        <v>74.340391238814533</v>
      </c>
      <c r="L577" s="5">
        <v>0.50479018688201904</v>
      </c>
      <c r="M577" s="5">
        <v>50.479018688201904</v>
      </c>
      <c r="N577" s="16">
        <v>1.3722110000000001</v>
      </c>
      <c r="O577" s="20">
        <v>2.2352941</v>
      </c>
      <c r="P577" s="16">
        <v>1.6289727000000001</v>
      </c>
      <c r="Q577" s="25">
        <f t="shared" si="29"/>
        <v>1.0396300000000001</v>
      </c>
      <c r="R577">
        <v>0.67893999999999999</v>
      </c>
      <c r="S577" s="24">
        <v>0.36069000000000007</v>
      </c>
      <c r="T577">
        <f>Q577/100</f>
        <v>1.0396300000000001E-2</v>
      </c>
      <c r="U577">
        <f>R577/100</f>
        <v>6.7894000000000001E-3</v>
      </c>
      <c r="V577">
        <f>S577/100</f>
        <v>3.6069000000000006E-3</v>
      </c>
      <c r="Y577">
        <v>0.39539999999999997</v>
      </c>
      <c r="Z577" s="5">
        <f t="shared" si="31"/>
        <v>39.54</v>
      </c>
    </row>
    <row r="578" spans="1:26" x14ac:dyDescent="0.25">
      <c r="A578" t="s">
        <v>26</v>
      </c>
      <c r="B578">
        <v>16</v>
      </c>
      <c r="C578">
        <v>1999</v>
      </c>
      <c r="D578" s="5">
        <v>25.1</v>
      </c>
      <c r="E578" s="5">
        <v>48.4</v>
      </c>
      <c r="F578" s="5">
        <f t="shared" si="30"/>
        <v>23.299999999999997</v>
      </c>
      <c r="G578" s="7">
        <v>1.0046217580000001</v>
      </c>
      <c r="H578" s="7">
        <v>7.1656777727065277</v>
      </c>
      <c r="I578" s="8">
        <v>37446.9018</v>
      </c>
      <c r="J578" s="12">
        <v>4.2471839999999998</v>
      </c>
      <c r="K578" s="7">
        <v>74.898365815939457</v>
      </c>
      <c r="L578" s="5">
        <v>0.50795257091522195</v>
      </c>
      <c r="M578" s="5">
        <v>50.795257091522195</v>
      </c>
      <c r="N578" s="16">
        <v>1.3600985000000001</v>
      </c>
      <c r="O578" s="20">
        <v>2.2359605999999999</v>
      </c>
      <c r="P578" s="16">
        <v>1.6439695999999999</v>
      </c>
      <c r="Q578" s="25">
        <f t="shared" si="29"/>
        <v>0</v>
      </c>
      <c r="R578">
        <v>0</v>
      </c>
      <c r="S578" s="24">
        <v>0</v>
      </c>
      <c r="T578">
        <f>Q578/100</f>
        <v>0</v>
      </c>
      <c r="U578">
        <f>R578/100</f>
        <v>0</v>
      </c>
      <c r="V578">
        <f>S578/100</f>
        <v>0</v>
      </c>
      <c r="Y578">
        <v>0.3992</v>
      </c>
      <c r="Z578" s="5">
        <f t="shared" si="31"/>
        <v>39.92</v>
      </c>
    </row>
    <row r="579" spans="1:26" x14ac:dyDescent="0.25">
      <c r="A579" t="s">
        <v>26</v>
      </c>
      <c r="B579">
        <v>16</v>
      </c>
      <c r="C579">
        <v>2000</v>
      </c>
      <c r="D579" s="5">
        <v>25</v>
      </c>
      <c r="E579" s="5">
        <v>48.1</v>
      </c>
      <c r="F579" s="5">
        <f t="shared" si="30"/>
        <v>23.1</v>
      </c>
      <c r="G579" s="7">
        <v>1.008991438</v>
      </c>
      <c r="H579" s="7">
        <v>5.8623811679492981</v>
      </c>
      <c r="I579" s="8">
        <v>39168.960460000002</v>
      </c>
      <c r="J579" s="12">
        <v>4.7663489999999999</v>
      </c>
      <c r="K579" s="7">
        <v>81.477531932175353</v>
      </c>
      <c r="L579" s="5">
        <v>0.52159649133682295</v>
      </c>
      <c r="M579" s="5">
        <v>52.159649133682294</v>
      </c>
      <c r="N579" s="16">
        <v>1.3863525000000001</v>
      </c>
      <c r="O579" s="20">
        <v>2.3456063</v>
      </c>
      <c r="P579" s="16">
        <v>1.6919263</v>
      </c>
      <c r="Q579" s="25">
        <f t="shared" ref="Q579:Q630" si="32">R579+S579</f>
        <v>0</v>
      </c>
      <c r="R579">
        <v>0</v>
      </c>
      <c r="S579" s="24">
        <v>0</v>
      </c>
      <c r="T579">
        <f>Q579/100</f>
        <v>0</v>
      </c>
      <c r="U579">
        <f>R579/100</f>
        <v>0</v>
      </c>
      <c r="V579">
        <f>S579/100</f>
        <v>0</v>
      </c>
      <c r="W579">
        <v>0.68498000000000003</v>
      </c>
      <c r="X579">
        <v>0.40300000000000002</v>
      </c>
      <c r="Y579">
        <v>0.40300000000000002</v>
      </c>
      <c r="Z579" s="5">
        <f t="shared" si="31"/>
        <v>40.300000000000004</v>
      </c>
    </row>
    <row r="580" spans="1:26" x14ac:dyDescent="0.25">
      <c r="A580" t="s">
        <v>26</v>
      </c>
      <c r="B580">
        <v>16</v>
      </c>
      <c r="C580">
        <v>2001</v>
      </c>
      <c r="D580" s="5">
        <v>24.6</v>
      </c>
      <c r="E580" s="5">
        <v>47.7</v>
      </c>
      <c r="F580" s="5">
        <f t="shared" si="30"/>
        <v>23.1</v>
      </c>
      <c r="G580" s="7">
        <v>1.0240595800000001</v>
      </c>
      <c r="H580" s="7">
        <v>4.8489188816967363</v>
      </c>
      <c r="I580" s="8">
        <v>39629.957317</v>
      </c>
      <c r="J580" s="12">
        <v>1.4494990000000001</v>
      </c>
      <c r="K580" s="7">
        <v>80.588290035950351</v>
      </c>
      <c r="L580" s="5">
        <v>0.53783261775970503</v>
      </c>
      <c r="M580" s="5">
        <v>53.783261775970502</v>
      </c>
      <c r="N580" s="16">
        <v>1.3777029999999999</v>
      </c>
      <c r="O580" s="20">
        <v>2.3003363999999999</v>
      </c>
      <c r="P580" s="16">
        <v>1.6696896000000001</v>
      </c>
      <c r="Q580" s="25">
        <f t="shared" si="32"/>
        <v>0</v>
      </c>
      <c r="R580">
        <v>0</v>
      </c>
      <c r="S580" s="24">
        <v>0</v>
      </c>
      <c r="T580">
        <f>Q580/100</f>
        <v>0</v>
      </c>
      <c r="U580">
        <f>R580/100</f>
        <v>0</v>
      </c>
      <c r="V580">
        <f>S580/100</f>
        <v>0</v>
      </c>
      <c r="Y580">
        <v>0.39950000000000002</v>
      </c>
      <c r="Z580" s="5">
        <f t="shared" si="31"/>
        <v>39.950000000000003</v>
      </c>
    </row>
    <row r="581" spans="1:26" x14ac:dyDescent="0.25">
      <c r="A581" t="s">
        <v>26</v>
      </c>
      <c r="B581">
        <v>16</v>
      </c>
      <c r="C581">
        <v>2002</v>
      </c>
      <c r="D581" s="5">
        <v>24.2</v>
      </c>
      <c r="E581" s="5">
        <v>47.3</v>
      </c>
      <c r="F581" s="5">
        <f t="shared" si="30"/>
        <v>23.099999999999998</v>
      </c>
      <c r="G581" s="7">
        <v>1.0215848199999999</v>
      </c>
      <c r="H581" s="7">
        <v>5.0714893383462769</v>
      </c>
      <c r="I581" s="8">
        <v>40368.997620000002</v>
      </c>
      <c r="J581" s="12">
        <v>2.1969210000000001</v>
      </c>
      <c r="K581" s="7">
        <v>77.218650705682407</v>
      </c>
      <c r="L581" s="5">
        <v>0.53750342130661</v>
      </c>
      <c r="M581" s="5">
        <v>53.750342130660997</v>
      </c>
      <c r="N581" s="16">
        <v>1.3820755</v>
      </c>
      <c r="O581" s="20">
        <v>2.2872642000000001</v>
      </c>
      <c r="P581" s="16">
        <v>1.6549488000000001</v>
      </c>
      <c r="Q581" s="25">
        <f t="shared" si="32"/>
        <v>0</v>
      </c>
      <c r="R581">
        <v>0</v>
      </c>
      <c r="S581" s="24">
        <v>0</v>
      </c>
      <c r="T581">
        <f>Q581/100</f>
        <v>0</v>
      </c>
      <c r="U581">
        <f>R581/100</f>
        <v>0</v>
      </c>
      <c r="V581">
        <f>S581/100</f>
        <v>0</v>
      </c>
      <c r="W581">
        <v>0.67845</v>
      </c>
      <c r="X581">
        <v>0.39600000000000002</v>
      </c>
      <c r="Y581">
        <v>0.39600000000000002</v>
      </c>
      <c r="Z581" s="5">
        <f t="shared" si="31"/>
        <v>39.6</v>
      </c>
    </row>
    <row r="582" spans="1:26" x14ac:dyDescent="0.25">
      <c r="A582" t="s">
        <v>26</v>
      </c>
      <c r="B582">
        <v>16</v>
      </c>
      <c r="C582">
        <v>2003</v>
      </c>
      <c r="D582" s="5">
        <v>23.8</v>
      </c>
      <c r="E582" s="5">
        <v>47.1</v>
      </c>
      <c r="F582" s="5">
        <f t="shared" si="30"/>
        <v>23.3</v>
      </c>
      <c r="G582" s="7">
        <v>1.0192565499999999</v>
      </c>
      <c r="H582" s="7">
        <v>5.6760420196543544</v>
      </c>
      <c r="I582" s="8">
        <v>41148.377648000001</v>
      </c>
      <c r="J582" s="12">
        <v>2.3098109999999998</v>
      </c>
      <c r="K582" s="7">
        <v>75.245593665516211</v>
      </c>
      <c r="L582" s="5">
        <v>0.53376251459121704</v>
      </c>
      <c r="M582" s="5">
        <v>53.376251459121704</v>
      </c>
      <c r="N582" s="16">
        <v>1.4015333000000001</v>
      </c>
      <c r="O582" s="20">
        <v>2.3162433999999998</v>
      </c>
      <c r="P582" s="16">
        <v>1.6526495999999999</v>
      </c>
      <c r="Q582" s="25">
        <f t="shared" si="32"/>
        <v>0</v>
      </c>
      <c r="R582">
        <v>0</v>
      </c>
      <c r="S582" s="24">
        <v>0</v>
      </c>
      <c r="T582">
        <f>Q582/100</f>
        <v>0</v>
      </c>
      <c r="U582">
        <f>R582/100</f>
        <v>0</v>
      </c>
      <c r="V582">
        <f>S582/100</f>
        <v>0</v>
      </c>
      <c r="W582">
        <v>0.67659000000000002</v>
      </c>
      <c r="X582">
        <v>0.39</v>
      </c>
      <c r="Y582">
        <v>0.39</v>
      </c>
      <c r="Z582" s="5">
        <f t="shared" si="31"/>
        <v>39</v>
      </c>
    </row>
    <row r="583" spans="1:26" x14ac:dyDescent="0.25">
      <c r="A583" t="s">
        <v>26</v>
      </c>
      <c r="B583">
        <v>16</v>
      </c>
      <c r="C583">
        <v>2004</v>
      </c>
      <c r="D583" s="5">
        <v>24</v>
      </c>
      <c r="E583" s="5">
        <v>47.3</v>
      </c>
      <c r="F583" s="5">
        <f t="shared" si="30"/>
        <v>23.299999999999997</v>
      </c>
      <c r="G583" s="7">
        <v>1.0037365979999999</v>
      </c>
      <c r="H583" s="7">
        <v>6.5251850681715435</v>
      </c>
      <c r="I583" s="8">
        <v>42764.409423999998</v>
      </c>
      <c r="J583" s="12">
        <v>4.336856</v>
      </c>
      <c r="K583" s="7">
        <v>78.591149581972118</v>
      </c>
      <c r="L583" s="5">
        <v>0.52573019266128496</v>
      </c>
      <c r="M583" s="5">
        <v>52.573019266128497</v>
      </c>
      <c r="N583" s="16">
        <v>1.3780821999999999</v>
      </c>
      <c r="O583" s="20">
        <v>2.2420091000000002</v>
      </c>
      <c r="P583" s="16">
        <v>1.6269051999999999</v>
      </c>
      <c r="Q583" s="25">
        <f t="shared" si="32"/>
        <v>0</v>
      </c>
      <c r="R583">
        <v>0</v>
      </c>
      <c r="S583" s="24">
        <v>0</v>
      </c>
      <c r="T583">
        <f>Q583/100</f>
        <v>0</v>
      </c>
      <c r="U583">
        <f>R583/100</f>
        <v>0</v>
      </c>
      <c r="V583">
        <f>S583/100</f>
        <v>0</v>
      </c>
      <c r="W583">
        <v>0.68072999999999995</v>
      </c>
      <c r="X583">
        <v>0.39100000000000001</v>
      </c>
      <c r="Y583">
        <v>0.39100000000000001</v>
      </c>
      <c r="Z583" s="5">
        <f t="shared" si="31"/>
        <v>39.1</v>
      </c>
    </row>
    <row r="584" spans="1:26" x14ac:dyDescent="0.25">
      <c r="A584" t="s">
        <v>26</v>
      </c>
      <c r="B584">
        <v>16</v>
      </c>
      <c r="C584">
        <v>2005</v>
      </c>
      <c r="D584" s="5">
        <v>24.5</v>
      </c>
      <c r="E584" s="5">
        <v>47.4</v>
      </c>
      <c r="F584" s="5">
        <f t="shared" si="30"/>
        <v>22.9</v>
      </c>
      <c r="G584" s="7">
        <v>1.0045317090000001</v>
      </c>
      <c r="H584" s="7">
        <v>7.4856127962110595</v>
      </c>
      <c r="I584" s="8">
        <v>43811.101541999997</v>
      </c>
      <c r="J584" s="12">
        <v>2.858803</v>
      </c>
      <c r="K584" s="7">
        <v>83.751477695119718</v>
      </c>
      <c r="L584" s="5">
        <v>0.52773034572601296</v>
      </c>
      <c r="M584" s="5">
        <v>52.773034572601297</v>
      </c>
      <c r="N584" s="16">
        <v>1.354392</v>
      </c>
      <c r="O584" s="20">
        <v>2.2310688000000001</v>
      </c>
      <c r="P584" s="16">
        <v>1.6472842999999999</v>
      </c>
      <c r="Q584" s="25">
        <f t="shared" si="32"/>
        <v>0</v>
      </c>
      <c r="R584">
        <v>0</v>
      </c>
      <c r="S584" s="24">
        <v>0</v>
      </c>
      <c r="T584">
        <f>Q584/100</f>
        <v>0</v>
      </c>
      <c r="U584">
        <f>R584/100</f>
        <v>0</v>
      </c>
      <c r="V584">
        <f>S584/100</f>
        <v>0</v>
      </c>
      <c r="W584">
        <v>0.68147000000000002</v>
      </c>
      <c r="X584">
        <v>0.39700000000000002</v>
      </c>
      <c r="Y584">
        <v>0.39700000000000002</v>
      </c>
      <c r="Z584" s="5">
        <f t="shared" si="31"/>
        <v>39.700000000000003</v>
      </c>
    </row>
    <row r="585" spans="1:26" x14ac:dyDescent="0.25">
      <c r="A585" t="s">
        <v>26</v>
      </c>
      <c r="B585">
        <v>16</v>
      </c>
      <c r="C585">
        <v>2006</v>
      </c>
      <c r="D585" s="5">
        <v>25.2</v>
      </c>
      <c r="E585" s="5">
        <v>47.3</v>
      </c>
      <c r="F585" s="5">
        <f t="shared" si="30"/>
        <v>22.099999999999998</v>
      </c>
      <c r="G585" s="7">
        <v>1.0136021500000001</v>
      </c>
      <c r="H585" s="7">
        <v>7.0663519538421191</v>
      </c>
      <c r="I585" s="8">
        <v>45596.861036000002</v>
      </c>
      <c r="J585" s="12">
        <v>4.6627739999999998</v>
      </c>
      <c r="K585" s="7">
        <v>88.195413477666435</v>
      </c>
      <c r="L585" s="5">
        <v>0.51928323507309004</v>
      </c>
      <c r="M585" s="5">
        <v>51.928323507309003</v>
      </c>
      <c r="N585" s="16">
        <v>1.3843463</v>
      </c>
      <c r="O585" s="20">
        <v>2.3117621000000002</v>
      </c>
      <c r="P585" s="16">
        <v>1.6699305</v>
      </c>
      <c r="Q585" s="25">
        <f t="shared" si="32"/>
        <v>0</v>
      </c>
      <c r="R585">
        <v>0</v>
      </c>
      <c r="S585" s="24">
        <v>0</v>
      </c>
      <c r="T585">
        <f>Q585/100</f>
        <v>0</v>
      </c>
      <c r="U585">
        <f>R585/100</f>
        <v>0</v>
      </c>
      <c r="V585">
        <f>S585/100</f>
        <v>0</v>
      </c>
      <c r="W585">
        <v>0.67910999999999999</v>
      </c>
      <c r="X585">
        <v>0.39500000000000002</v>
      </c>
      <c r="Y585">
        <v>0.39500000000000002</v>
      </c>
      <c r="Z585" s="5">
        <f t="shared" si="31"/>
        <v>39.5</v>
      </c>
    </row>
    <row r="586" spans="1:26" x14ac:dyDescent="0.25">
      <c r="A586" t="s">
        <v>26</v>
      </c>
      <c r="B586">
        <v>16</v>
      </c>
      <c r="C586">
        <v>2007</v>
      </c>
      <c r="D586" s="5">
        <v>25.9</v>
      </c>
      <c r="E586" s="5">
        <v>46.9</v>
      </c>
      <c r="F586" s="5">
        <f t="shared" si="30"/>
        <v>21</v>
      </c>
      <c r="G586" s="7">
        <v>1.0221216900000001</v>
      </c>
      <c r="H586" s="7">
        <v>6.1606183351244113</v>
      </c>
      <c r="I586" s="8">
        <v>46816.575708999997</v>
      </c>
      <c r="J586" s="12">
        <v>3.439222</v>
      </c>
      <c r="K586" s="7">
        <v>89.162082211188348</v>
      </c>
      <c r="L586" s="5">
        <v>0.52841407060623202</v>
      </c>
      <c r="M586" s="5">
        <v>52.841407060623204</v>
      </c>
      <c r="N586" s="16">
        <v>1.4004348</v>
      </c>
      <c r="O586" s="20">
        <v>2.3439130000000001</v>
      </c>
      <c r="P586" s="16">
        <v>1.6737038</v>
      </c>
      <c r="Q586" s="25">
        <f t="shared" si="32"/>
        <v>0</v>
      </c>
      <c r="R586">
        <v>0</v>
      </c>
      <c r="S586" s="24">
        <v>0</v>
      </c>
      <c r="T586">
        <f>Q586/100</f>
        <v>0</v>
      </c>
      <c r="U586">
        <f>R586/100</f>
        <v>0</v>
      </c>
      <c r="V586">
        <f>S586/100</f>
        <v>0</v>
      </c>
      <c r="W586">
        <v>0.67127999999999999</v>
      </c>
      <c r="X586">
        <v>0.38700000000000001</v>
      </c>
      <c r="Y586">
        <v>0.38700000000000001</v>
      </c>
      <c r="Z586" s="5">
        <f t="shared" si="31"/>
        <v>38.700000000000003</v>
      </c>
    </row>
    <row r="587" spans="1:26" x14ac:dyDescent="0.25">
      <c r="A587" t="s">
        <v>26</v>
      </c>
      <c r="B587">
        <v>16</v>
      </c>
      <c r="C587">
        <v>2008</v>
      </c>
      <c r="D587" s="5">
        <v>26.2</v>
      </c>
      <c r="E587" s="5">
        <v>46.6</v>
      </c>
      <c r="F587" s="5">
        <f t="shared" si="30"/>
        <v>20.400000000000002</v>
      </c>
      <c r="G587" s="7">
        <v>1.0343704899999999</v>
      </c>
      <c r="H587" s="7">
        <v>6.2347525187052781</v>
      </c>
      <c r="I587" s="8">
        <v>46243.976413999997</v>
      </c>
      <c r="J587" s="12">
        <v>-0.45055899999999999</v>
      </c>
      <c r="K587" s="7">
        <v>92.564150430815062</v>
      </c>
      <c r="L587" s="5">
        <v>0.53746980428695701</v>
      </c>
      <c r="M587" s="5">
        <v>53.7469804286957</v>
      </c>
      <c r="N587" s="16">
        <v>1.3743612000000001</v>
      </c>
      <c r="O587" s="20">
        <v>2.2776831</v>
      </c>
      <c r="P587" s="16">
        <v>1.6572667999999999</v>
      </c>
      <c r="Q587" s="25">
        <f t="shared" si="32"/>
        <v>0</v>
      </c>
      <c r="R587">
        <v>0</v>
      </c>
      <c r="S587" s="24">
        <v>0</v>
      </c>
      <c r="T587">
        <f>Q587/100</f>
        <v>0</v>
      </c>
      <c r="U587">
        <f>R587/100</f>
        <v>0</v>
      </c>
      <c r="V587">
        <f>S587/100</f>
        <v>0</v>
      </c>
      <c r="W587">
        <v>0.66178999999999999</v>
      </c>
      <c r="X587">
        <v>0.377</v>
      </c>
      <c r="Y587">
        <v>0.377</v>
      </c>
      <c r="Z587" s="5">
        <f t="shared" si="31"/>
        <v>37.700000000000003</v>
      </c>
    </row>
    <row r="588" spans="1:26" x14ac:dyDescent="0.25">
      <c r="A588" t="s">
        <v>26</v>
      </c>
      <c r="B588">
        <v>16</v>
      </c>
      <c r="C588">
        <v>2009</v>
      </c>
      <c r="D588" s="5">
        <v>26.8</v>
      </c>
      <c r="E588" s="5">
        <v>47.2</v>
      </c>
      <c r="F588" s="5">
        <f t="shared" si="30"/>
        <v>20.400000000000002</v>
      </c>
      <c r="G588" s="7">
        <v>0.99505539399999998</v>
      </c>
      <c r="H588" s="7">
        <v>8.3509443762635396</v>
      </c>
      <c r="I588" s="8">
        <v>43861.830050999997</v>
      </c>
      <c r="J588" s="12">
        <v>-4.339791</v>
      </c>
      <c r="K588" s="7">
        <v>81.50885603742644</v>
      </c>
      <c r="L588" s="5">
        <v>0.54917979240417503</v>
      </c>
      <c r="M588" s="5">
        <v>54.917979240417502</v>
      </c>
      <c r="N588" s="16">
        <v>1.3610196999999999</v>
      </c>
      <c r="O588" s="20">
        <v>2.2804275999999999</v>
      </c>
      <c r="P588" s="16">
        <v>1.6755287000000001</v>
      </c>
      <c r="Q588" s="25">
        <f t="shared" si="32"/>
        <v>0</v>
      </c>
      <c r="R588">
        <v>0</v>
      </c>
      <c r="S588" s="24">
        <v>0</v>
      </c>
      <c r="T588">
        <f>Q588/100</f>
        <v>0</v>
      </c>
      <c r="U588">
        <f>R588/100</f>
        <v>0</v>
      </c>
      <c r="V588">
        <f>S588/100</f>
        <v>0</v>
      </c>
      <c r="W588">
        <v>0.67391999999999996</v>
      </c>
      <c r="X588">
        <v>0.38200000000000001</v>
      </c>
      <c r="Y588">
        <v>0.38200000000000001</v>
      </c>
      <c r="Z588" s="5">
        <f t="shared" si="31"/>
        <v>38.200000000000003</v>
      </c>
    </row>
    <row r="589" spans="1:26" x14ac:dyDescent="0.25">
      <c r="A589" t="s">
        <v>26</v>
      </c>
      <c r="B589">
        <v>16</v>
      </c>
      <c r="C589">
        <v>2010</v>
      </c>
      <c r="D589" s="5">
        <v>27</v>
      </c>
      <c r="E589" s="5">
        <v>47.3</v>
      </c>
      <c r="F589" s="5">
        <f t="shared" si="30"/>
        <v>20.299999999999997</v>
      </c>
      <c r="G589" s="7">
        <v>1.01157988</v>
      </c>
      <c r="H589" s="7">
        <v>8.6103619301594989</v>
      </c>
      <c r="I589" s="8">
        <v>46078.024861999998</v>
      </c>
      <c r="J589" s="12">
        <v>5.9521069999999998</v>
      </c>
      <c r="K589" s="7">
        <v>84.248377188036315</v>
      </c>
      <c r="L589" s="5">
        <v>0.53207248449325595</v>
      </c>
      <c r="M589" s="5">
        <v>53.207248449325597</v>
      </c>
      <c r="N589" s="16">
        <v>1.3797781</v>
      </c>
      <c r="O589" s="20">
        <v>2.2346897000000001</v>
      </c>
      <c r="P589" s="16">
        <v>1.6196008</v>
      </c>
      <c r="Q589" s="25">
        <f t="shared" si="32"/>
        <v>0</v>
      </c>
      <c r="R589">
        <v>0</v>
      </c>
      <c r="S589" s="24">
        <v>0</v>
      </c>
      <c r="T589">
        <f>Q589/100</f>
        <v>0</v>
      </c>
      <c r="U589">
        <f>R589/100</f>
        <v>0</v>
      </c>
      <c r="V589">
        <f>S589/100</f>
        <v>0</v>
      </c>
      <c r="W589">
        <v>0.67091999999999996</v>
      </c>
      <c r="X589">
        <v>0.38600000000000001</v>
      </c>
      <c r="Y589">
        <v>0.38600000000000001</v>
      </c>
      <c r="Z589" s="5">
        <f t="shared" si="31"/>
        <v>38.6</v>
      </c>
    </row>
    <row r="590" spans="1:26" x14ac:dyDescent="0.25">
      <c r="A590" t="s">
        <v>26</v>
      </c>
      <c r="B590">
        <v>16</v>
      </c>
      <c r="C590">
        <v>2011</v>
      </c>
      <c r="D590" s="5">
        <v>27.3</v>
      </c>
      <c r="E590" s="5">
        <v>47.2</v>
      </c>
      <c r="F590" s="5">
        <f t="shared" si="30"/>
        <v>19.900000000000002</v>
      </c>
      <c r="G590" s="7">
        <v>1.0296115100000001</v>
      </c>
      <c r="H590" s="7">
        <v>7.8037259777079111</v>
      </c>
      <c r="I590" s="8">
        <v>47192.649487000002</v>
      </c>
      <c r="J590" s="12">
        <v>3.1953330000000002</v>
      </c>
      <c r="K590" s="7">
        <v>85.791027400108106</v>
      </c>
      <c r="L590" s="5">
        <v>0.53700208663940396</v>
      </c>
      <c r="M590" s="5">
        <v>53.700208663940394</v>
      </c>
      <c r="N590" s="16">
        <v>1.3863262000000001</v>
      </c>
      <c r="O590" s="20">
        <v>2.3047776</v>
      </c>
      <c r="P590" s="16">
        <v>1.6625074</v>
      </c>
      <c r="Q590" s="25">
        <f t="shared" si="32"/>
        <v>0</v>
      </c>
      <c r="R590">
        <v>0</v>
      </c>
      <c r="S590" s="24">
        <v>0</v>
      </c>
      <c r="T590">
        <f>Q590/100</f>
        <v>0</v>
      </c>
      <c r="U590">
        <f>R590/100</f>
        <v>0</v>
      </c>
      <c r="V590">
        <f>S590/100</f>
        <v>0</v>
      </c>
      <c r="W590">
        <v>0.66735</v>
      </c>
      <c r="X590">
        <v>0.38200000000000001</v>
      </c>
      <c r="Y590">
        <v>0.38200000000000001</v>
      </c>
      <c r="Z590" s="5">
        <f t="shared" si="31"/>
        <v>38.200000000000003</v>
      </c>
    </row>
    <row r="591" spans="1:26" x14ac:dyDescent="0.25">
      <c r="A591" t="s">
        <v>26</v>
      </c>
      <c r="B591">
        <v>16</v>
      </c>
      <c r="C591">
        <v>2012</v>
      </c>
      <c r="D591" s="5">
        <v>27.4</v>
      </c>
      <c r="E591" s="5">
        <v>47.4</v>
      </c>
      <c r="F591" s="5">
        <f t="shared" si="30"/>
        <v>20</v>
      </c>
      <c r="G591" s="7">
        <v>1.0088837749999999</v>
      </c>
      <c r="H591" s="7">
        <v>7.9755965024946889</v>
      </c>
      <c r="I591" s="8">
        <v>46569.231026000001</v>
      </c>
      <c r="J591" s="12">
        <v>-0.58830499999999997</v>
      </c>
      <c r="K591" s="7">
        <v>85.282251062358711</v>
      </c>
      <c r="L591" s="5">
        <v>0.554460108280182</v>
      </c>
      <c r="M591" s="5">
        <v>55.446010828018203</v>
      </c>
      <c r="N591" s="16">
        <v>1.3792825</v>
      </c>
      <c r="O591" s="20">
        <v>2.2704555000000002</v>
      </c>
      <c r="P591" s="16">
        <v>1.6461133999999999</v>
      </c>
      <c r="Q591" s="25">
        <f t="shared" si="32"/>
        <v>0</v>
      </c>
      <c r="R591">
        <v>0</v>
      </c>
      <c r="S591" s="24">
        <v>0</v>
      </c>
      <c r="T591">
        <f>Q591/100</f>
        <v>0</v>
      </c>
      <c r="U591">
        <f>R591/100</f>
        <v>0</v>
      </c>
      <c r="V591">
        <f>S591/100</f>
        <v>0</v>
      </c>
      <c r="W591">
        <v>0.66622999999999999</v>
      </c>
      <c r="X591">
        <v>0.375</v>
      </c>
      <c r="Y591">
        <v>0.375</v>
      </c>
      <c r="Z591" s="5">
        <f t="shared" si="31"/>
        <v>37.5</v>
      </c>
    </row>
    <row r="592" spans="1:26" x14ac:dyDescent="0.25">
      <c r="A592" t="s">
        <v>26</v>
      </c>
      <c r="B592">
        <v>16</v>
      </c>
      <c r="C592">
        <v>2013</v>
      </c>
      <c r="D592" s="5">
        <v>27.8</v>
      </c>
      <c r="E592" s="5">
        <v>48.1</v>
      </c>
      <c r="F592" s="5">
        <f t="shared" si="30"/>
        <v>20.3</v>
      </c>
      <c r="G592" s="7">
        <v>0.99955707029999996</v>
      </c>
      <c r="H592" s="7">
        <v>8.0519302840334408</v>
      </c>
      <c r="I592" s="8">
        <v>46724.767641999999</v>
      </c>
      <c r="J592" s="12">
        <v>1.1877759999999999</v>
      </c>
      <c r="K592" s="7">
        <v>80.815665276975182</v>
      </c>
      <c r="L592" s="5">
        <v>0.55862933397293102</v>
      </c>
      <c r="M592" s="5">
        <v>55.862933397293105</v>
      </c>
      <c r="N592" s="16">
        <v>1.3638489</v>
      </c>
      <c r="O592" s="20">
        <v>2.2843787</v>
      </c>
      <c r="P592" s="16">
        <v>1.6749499999999999</v>
      </c>
      <c r="Q592" s="25">
        <f t="shared" si="32"/>
        <v>0</v>
      </c>
      <c r="R592">
        <v>0</v>
      </c>
      <c r="S592" s="24">
        <v>0</v>
      </c>
      <c r="T592">
        <f>Q592/100</f>
        <v>0</v>
      </c>
      <c r="U592">
        <f>R592/100</f>
        <v>0</v>
      </c>
      <c r="V592">
        <f>S592/100</f>
        <v>0</v>
      </c>
      <c r="W592">
        <v>0.67230000000000001</v>
      </c>
      <c r="X592">
        <v>0.39200000000000002</v>
      </c>
      <c r="Y592">
        <v>0.39200000000000002</v>
      </c>
      <c r="Z592" s="5">
        <f t="shared" si="31"/>
        <v>39.200000000000003</v>
      </c>
    </row>
    <row r="593" spans="1:26" x14ac:dyDescent="0.25">
      <c r="A593" t="s">
        <v>26</v>
      </c>
      <c r="B593">
        <v>16</v>
      </c>
      <c r="C593">
        <v>2014</v>
      </c>
      <c r="D593" s="5">
        <v>28</v>
      </c>
      <c r="E593" s="5">
        <v>48.5</v>
      </c>
      <c r="F593" s="5">
        <f t="shared" si="30"/>
        <v>20.5</v>
      </c>
      <c r="G593" s="7">
        <v>0.99820361499999999</v>
      </c>
      <c r="H593" s="7">
        <v>7.953553638507274</v>
      </c>
      <c r="I593" s="8">
        <v>47493.036808999997</v>
      </c>
      <c r="J593" s="12">
        <v>2.6577980000000001</v>
      </c>
      <c r="K593" s="7">
        <v>82.933531693853581</v>
      </c>
      <c r="L593" s="5">
        <v>0.55437052249908403</v>
      </c>
      <c r="M593" s="5">
        <v>55.437052249908405</v>
      </c>
      <c r="N593" s="16">
        <v>1.32075471698113</v>
      </c>
      <c r="O593" s="20">
        <v>2.3033911332955737</v>
      </c>
      <c r="P593" s="16">
        <v>1.58928571428571</v>
      </c>
      <c r="Q593" s="25">
        <f t="shared" si="32"/>
        <v>0</v>
      </c>
      <c r="R593">
        <v>0</v>
      </c>
      <c r="S593" s="24">
        <v>0</v>
      </c>
      <c r="T593">
        <f>Q593/100</f>
        <v>0</v>
      </c>
      <c r="U593">
        <f>R593/100</f>
        <v>0</v>
      </c>
      <c r="V593">
        <f>S593/100</f>
        <v>0</v>
      </c>
      <c r="W593">
        <v>0.67383000000000004</v>
      </c>
      <c r="X593">
        <v>0.39500000000000002</v>
      </c>
      <c r="Y593">
        <v>0.39500000000000002</v>
      </c>
      <c r="Z593" s="5">
        <f t="shared" si="31"/>
        <v>39.5</v>
      </c>
    </row>
    <row r="594" spans="1:26" x14ac:dyDescent="0.25">
      <c r="A594" t="s">
        <v>29</v>
      </c>
      <c r="B594">
        <v>17</v>
      </c>
      <c r="C594">
        <v>1978</v>
      </c>
      <c r="D594" s="5">
        <v>32.1</v>
      </c>
      <c r="E594" s="5">
        <v>46.3</v>
      </c>
      <c r="F594" s="5">
        <f t="shared" si="30"/>
        <v>14.199999999999996</v>
      </c>
      <c r="G594" s="7">
        <v>1.1977369</v>
      </c>
      <c r="H594" s="7">
        <v>7.001893222264294</v>
      </c>
      <c r="I594" s="8">
        <v>19658.689460000001</v>
      </c>
      <c r="J594" s="13">
        <v>1.4630030000000001</v>
      </c>
      <c r="K594" s="7">
        <v>27.725213290205048</v>
      </c>
      <c r="L594" s="5">
        <v>0.62718194723129295</v>
      </c>
      <c r="M594" s="5">
        <f t="shared" ref="M594:M630" si="33">L594*100</f>
        <v>62.718194723129294</v>
      </c>
      <c r="Q594" s="25">
        <f t="shared" si="32"/>
        <v>0</v>
      </c>
      <c r="R594">
        <v>0</v>
      </c>
      <c r="S594" s="24">
        <v>0</v>
      </c>
      <c r="T594">
        <f>Q594/100</f>
        <v>0</v>
      </c>
      <c r="U594">
        <f>R594/100</f>
        <v>0</v>
      </c>
      <c r="V594">
        <f>S594/100</f>
        <v>0</v>
      </c>
    </row>
    <row r="595" spans="1:26" x14ac:dyDescent="0.25">
      <c r="A595" t="s">
        <v>29</v>
      </c>
      <c r="B595">
        <v>17</v>
      </c>
      <c r="C595">
        <v>1979</v>
      </c>
      <c r="D595" s="5">
        <v>32.1</v>
      </c>
      <c r="E595" s="5">
        <v>45.2</v>
      </c>
      <c r="F595" s="5">
        <f t="shared" si="30"/>
        <v>13.100000000000001</v>
      </c>
      <c r="G595" s="7">
        <v>1.1566023000000001</v>
      </c>
      <c r="H595" s="7">
        <v>8.7119098955113614</v>
      </c>
      <c r="I595" s="8">
        <v>19491.960365999999</v>
      </c>
      <c r="J595" s="13">
        <v>4.1547000000000001E-2</v>
      </c>
      <c r="K595" s="7">
        <v>27.835996977674675</v>
      </c>
      <c r="L595" s="5">
        <v>0.62718194723129295</v>
      </c>
      <c r="M595" s="5">
        <f t="shared" si="33"/>
        <v>62.718194723129294</v>
      </c>
      <c r="Q595" s="25">
        <f t="shared" si="32"/>
        <v>0</v>
      </c>
      <c r="R595">
        <v>0</v>
      </c>
      <c r="S595" s="24">
        <v>0</v>
      </c>
      <c r="T595">
        <f>Q595/100</f>
        <v>0</v>
      </c>
      <c r="U595">
        <f>R595/100</f>
        <v>0</v>
      </c>
      <c r="V595">
        <f>S595/100</f>
        <v>0</v>
      </c>
    </row>
    <row r="596" spans="1:26" x14ac:dyDescent="0.25">
      <c r="A596" t="s">
        <v>29</v>
      </c>
      <c r="B596">
        <v>17</v>
      </c>
      <c r="C596">
        <v>1980</v>
      </c>
      <c r="D596" s="5">
        <v>32.1</v>
      </c>
      <c r="E596" s="5">
        <v>44.1</v>
      </c>
      <c r="F596" s="5">
        <f t="shared" si="30"/>
        <v>12</v>
      </c>
      <c r="G596" s="7">
        <v>1.1556191</v>
      </c>
      <c r="H596" s="7">
        <v>11.512115248839551</v>
      </c>
      <c r="I596" s="8">
        <v>19708.972676000001</v>
      </c>
      <c r="J596" s="13">
        <v>2.2087279999999998</v>
      </c>
      <c r="K596" s="7">
        <v>31.560610080093937</v>
      </c>
      <c r="L596" s="5">
        <v>0.62718194723129295</v>
      </c>
      <c r="M596" s="5">
        <f t="shared" si="33"/>
        <v>62.718194723129294</v>
      </c>
      <c r="O596" s="19"/>
      <c r="Q596" s="25">
        <f t="shared" si="32"/>
        <v>0</v>
      </c>
      <c r="R596">
        <v>0</v>
      </c>
      <c r="S596" s="24">
        <v>0</v>
      </c>
      <c r="T596">
        <f>Q596/100</f>
        <v>0</v>
      </c>
      <c r="U596">
        <f>R596/100</f>
        <v>0</v>
      </c>
      <c r="V596">
        <f>S596/100</f>
        <v>0</v>
      </c>
    </row>
    <row r="597" spans="1:26" x14ac:dyDescent="0.25">
      <c r="A597" t="s">
        <v>29</v>
      </c>
      <c r="B597">
        <v>17</v>
      </c>
      <c r="C597">
        <v>1981</v>
      </c>
      <c r="D597" s="5">
        <v>32.200000000000003</v>
      </c>
      <c r="E597" s="5">
        <v>44.7</v>
      </c>
      <c r="F597" s="5">
        <f t="shared" si="30"/>
        <v>12.5</v>
      </c>
      <c r="G597" s="7">
        <v>1.1454934999999999</v>
      </c>
      <c r="H597" s="7">
        <v>14.159424520745848</v>
      </c>
      <c r="I597" s="8">
        <v>19562.392262000001</v>
      </c>
      <c r="J597" s="13">
        <v>-0.132469</v>
      </c>
      <c r="K597" s="7">
        <v>35.380191556283528</v>
      </c>
      <c r="L597" s="5">
        <v>0.62718194723129295</v>
      </c>
      <c r="M597" s="5">
        <f t="shared" si="33"/>
        <v>62.718194723129294</v>
      </c>
      <c r="Q597" s="25">
        <f t="shared" si="32"/>
        <v>0</v>
      </c>
      <c r="R597">
        <v>0</v>
      </c>
      <c r="S597" s="24">
        <v>0</v>
      </c>
      <c r="T597">
        <f>Q597/100</f>
        <v>0</v>
      </c>
      <c r="U597">
        <f>R597/100</f>
        <v>0</v>
      </c>
      <c r="V597">
        <f>S597/100</f>
        <v>0</v>
      </c>
    </row>
    <row r="598" spans="1:26" x14ac:dyDescent="0.25">
      <c r="A598" t="s">
        <v>29</v>
      </c>
      <c r="B598">
        <v>17</v>
      </c>
      <c r="C598">
        <v>1982</v>
      </c>
      <c r="D598" s="5">
        <v>32.4</v>
      </c>
      <c r="E598" s="5">
        <v>45</v>
      </c>
      <c r="F598" s="5">
        <f t="shared" si="30"/>
        <v>12.600000000000001</v>
      </c>
      <c r="G598" s="7">
        <v>1.1441498999999999</v>
      </c>
      <c r="H598" s="7">
        <v>15.988787065184425</v>
      </c>
      <c r="I598" s="8">
        <v>19700.266871</v>
      </c>
      <c r="J598" s="13">
        <v>1.246462</v>
      </c>
      <c r="K598" s="7">
        <v>36.528428485059692</v>
      </c>
      <c r="L598" s="5">
        <v>0.62718194723129295</v>
      </c>
      <c r="M598" s="5">
        <f t="shared" si="33"/>
        <v>62.718194723129294</v>
      </c>
      <c r="Q598" s="25">
        <f t="shared" si="32"/>
        <v>0</v>
      </c>
      <c r="R598">
        <v>0</v>
      </c>
      <c r="S598" s="24">
        <v>0</v>
      </c>
      <c r="T598">
        <f>Q598/100</f>
        <v>0</v>
      </c>
      <c r="U598">
        <f>R598/100</f>
        <v>0</v>
      </c>
      <c r="V598">
        <f>S598/100</f>
        <v>0</v>
      </c>
    </row>
    <row r="599" spans="1:26" x14ac:dyDescent="0.25">
      <c r="A599" t="s">
        <v>29</v>
      </c>
      <c r="B599">
        <v>17</v>
      </c>
      <c r="C599">
        <v>1983</v>
      </c>
      <c r="D599" s="5">
        <v>32.5</v>
      </c>
      <c r="E599" s="5">
        <v>45.3</v>
      </c>
      <c r="F599" s="5">
        <f t="shared" si="30"/>
        <v>12.799999999999997</v>
      </c>
      <c r="G599" s="7">
        <v>1.1217408</v>
      </c>
      <c r="H599" s="7">
        <v>17.45390655186743</v>
      </c>
      <c r="I599" s="8">
        <v>19954.847837000001</v>
      </c>
      <c r="J599" s="13">
        <v>1.770116</v>
      </c>
      <c r="K599" s="7">
        <v>39.768524714609988</v>
      </c>
      <c r="L599" s="5">
        <v>0.62718194723129295</v>
      </c>
      <c r="M599" s="5">
        <f t="shared" si="33"/>
        <v>62.718194723129294</v>
      </c>
      <c r="Q599" s="25">
        <f t="shared" si="32"/>
        <v>1.7616200000000002</v>
      </c>
      <c r="R599">
        <v>0</v>
      </c>
      <c r="S599" s="24">
        <v>1.7616200000000002</v>
      </c>
      <c r="T599">
        <f>Q599/100</f>
        <v>1.7616200000000002E-2</v>
      </c>
      <c r="U599">
        <f>R599/100</f>
        <v>0</v>
      </c>
      <c r="V599">
        <f>S599/100</f>
        <v>1.7616200000000002E-2</v>
      </c>
    </row>
    <row r="600" spans="1:26" x14ac:dyDescent="0.25">
      <c r="A600" t="s">
        <v>29</v>
      </c>
      <c r="B600">
        <v>17</v>
      </c>
      <c r="C600">
        <v>1984</v>
      </c>
      <c r="D600" s="5">
        <v>32.6</v>
      </c>
      <c r="E600" s="5">
        <v>45.6</v>
      </c>
      <c r="F600" s="5">
        <f t="shared" si="30"/>
        <v>13</v>
      </c>
      <c r="G600" s="7">
        <v>1.1128027</v>
      </c>
      <c r="H600" s="7">
        <v>20.211911327268382</v>
      </c>
      <c r="I600" s="8">
        <v>20228.205339</v>
      </c>
      <c r="J600" s="13">
        <v>1.7846880000000001</v>
      </c>
      <c r="K600" s="7">
        <v>41.541430300568237</v>
      </c>
      <c r="L600" s="5">
        <v>0.62718194723129295</v>
      </c>
      <c r="M600" s="5">
        <f t="shared" si="33"/>
        <v>62.718194723129294</v>
      </c>
      <c r="Q600" s="25">
        <f t="shared" si="32"/>
        <v>1.2268600000000001</v>
      </c>
      <c r="R600">
        <v>0.81791000000000003</v>
      </c>
      <c r="S600" s="24">
        <v>0.40894999999999998</v>
      </c>
      <c r="T600">
        <f>Q600/100</f>
        <v>1.2268600000000001E-2</v>
      </c>
      <c r="U600">
        <f>R600/100</f>
        <v>8.1790999999999999E-3</v>
      </c>
      <c r="V600">
        <f>S600/100</f>
        <v>4.0894999999999994E-3</v>
      </c>
    </row>
    <row r="601" spans="1:26" x14ac:dyDescent="0.25">
      <c r="A601" t="s">
        <v>29</v>
      </c>
      <c r="B601">
        <v>17</v>
      </c>
      <c r="C601">
        <v>1985</v>
      </c>
      <c r="D601" s="5">
        <v>32.799999999999997</v>
      </c>
      <c r="E601" s="5">
        <v>45.8</v>
      </c>
      <c r="F601" s="5">
        <f t="shared" si="30"/>
        <v>13</v>
      </c>
      <c r="G601" s="7">
        <v>1.08814454</v>
      </c>
      <c r="H601" s="7">
        <v>21.602323959359477</v>
      </c>
      <c r="I601" s="8">
        <v>20621.830015</v>
      </c>
      <c r="J601" s="13">
        <v>2.3214359999999998</v>
      </c>
      <c r="K601" s="7">
        <v>40.866626090296023</v>
      </c>
      <c r="L601" s="5">
        <v>0.62718194723129295</v>
      </c>
      <c r="M601" s="5">
        <f t="shared" si="33"/>
        <v>62.718194723129294</v>
      </c>
      <c r="Q601" s="25">
        <f t="shared" si="32"/>
        <v>0</v>
      </c>
      <c r="R601">
        <v>0</v>
      </c>
      <c r="S601" s="24">
        <v>0</v>
      </c>
      <c r="T601">
        <f>Q601/100</f>
        <v>0</v>
      </c>
      <c r="U601">
        <f>R601/100</f>
        <v>0</v>
      </c>
      <c r="V601">
        <f>S601/100</f>
        <v>0</v>
      </c>
    </row>
    <row r="602" spans="1:26" x14ac:dyDescent="0.25">
      <c r="A602" t="s">
        <v>29</v>
      </c>
      <c r="B602">
        <v>17</v>
      </c>
      <c r="C602">
        <v>1986</v>
      </c>
      <c r="D602" s="5">
        <v>33.299999999999997</v>
      </c>
      <c r="E602" s="5">
        <v>46.8</v>
      </c>
      <c r="F602" s="5">
        <f t="shared" si="30"/>
        <v>13.5</v>
      </c>
      <c r="G602" s="7">
        <v>1.0879493899999999</v>
      </c>
      <c r="H602" s="7">
        <v>21.132753672605347</v>
      </c>
      <c r="I602" s="8">
        <v>21228.078857</v>
      </c>
      <c r="J602" s="13">
        <v>3.2533219999999998</v>
      </c>
      <c r="K602" s="7">
        <v>35.34734208537725</v>
      </c>
      <c r="L602" s="5">
        <v>0.62718194723129295</v>
      </c>
      <c r="M602" s="5">
        <f t="shared" si="33"/>
        <v>62.718194723129294</v>
      </c>
      <c r="Q602" s="25">
        <f t="shared" si="32"/>
        <v>0</v>
      </c>
      <c r="R602">
        <v>0</v>
      </c>
      <c r="S602" s="24">
        <v>0</v>
      </c>
      <c r="T602">
        <f>Q602/100</f>
        <v>0</v>
      </c>
      <c r="U602">
        <f>R602/100</f>
        <v>0</v>
      </c>
      <c r="V602">
        <f>S602/100</f>
        <v>0</v>
      </c>
    </row>
    <row r="603" spans="1:26" x14ac:dyDescent="0.25">
      <c r="A603" t="s">
        <v>29</v>
      </c>
      <c r="B603">
        <v>17</v>
      </c>
      <c r="C603">
        <v>1987</v>
      </c>
      <c r="D603" s="5">
        <v>32.5</v>
      </c>
      <c r="E603" s="5">
        <v>46</v>
      </c>
      <c r="F603" s="5">
        <f t="shared" si="30"/>
        <v>13.5</v>
      </c>
      <c r="G603" s="7">
        <v>1.05248024</v>
      </c>
      <c r="H603" s="7">
        <v>20.330541245917765</v>
      </c>
      <c r="I603" s="8">
        <v>22350.528716000001</v>
      </c>
      <c r="J603" s="13">
        <v>5.547123</v>
      </c>
      <c r="K603" s="7">
        <v>36.319960016714603</v>
      </c>
      <c r="L603" s="5">
        <v>0.62718194723129295</v>
      </c>
      <c r="M603" s="5">
        <f t="shared" si="33"/>
        <v>62.718194723129294</v>
      </c>
      <c r="Q603" s="25">
        <f t="shared" si="32"/>
        <v>0</v>
      </c>
      <c r="R603">
        <v>0</v>
      </c>
      <c r="S603" s="24">
        <v>0</v>
      </c>
      <c r="T603">
        <f>Q603/100</f>
        <v>0</v>
      </c>
      <c r="U603">
        <f>R603/100</f>
        <v>0</v>
      </c>
      <c r="V603">
        <f>S603/100</f>
        <v>0</v>
      </c>
    </row>
    <row r="604" spans="1:26" x14ac:dyDescent="0.25">
      <c r="A604" t="s">
        <v>29</v>
      </c>
      <c r="B604">
        <v>17</v>
      </c>
      <c r="C604">
        <v>1988</v>
      </c>
      <c r="D604" s="5">
        <v>31.7</v>
      </c>
      <c r="E604" s="5">
        <v>45</v>
      </c>
      <c r="F604" s="5">
        <f t="shared" si="30"/>
        <v>13.3</v>
      </c>
      <c r="G604" s="7">
        <v>1.04837267</v>
      </c>
      <c r="H604" s="7">
        <v>19.336358555345594</v>
      </c>
      <c r="I604" s="8">
        <v>23437.568640000001</v>
      </c>
      <c r="J604" s="13">
        <v>5.0943240000000003</v>
      </c>
      <c r="K604" s="7">
        <v>36.713481910794556</v>
      </c>
      <c r="L604" s="5">
        <v>0.62718194723129295</v>
      </c>
      <c r="M604" s="5">
        <f t="shared" si="33"/>
        <v>62.718194723129294</v>
      </c>
      <c r="Q604" s="25">
        <f t="shared" si="32"/>
        <v>0</v>
      </c>
      <c r="R604">
        <v>0</v>
      </c>
      <c r="S604" s="24">
        <v>0</v>
      </c>
      <c r="T604">
        <f>Q604/100</f>
        <v>0</v>
      </c>
      <c r="U604">
        <f>R604/100</f>
        <v>0</v>
      </c>
      <c r="V604">
        <f>S604/100</f>
        <v>0</v>
      </c>
    </row>
    <row r="605" spans="1:26" x14ac:dyDescent="0.25">
      <c r="A605" t="s">
        <v>29</v>
      </c>
      <c r="B605">
        <v>17</v>
      </c>
      <c r="C605">
        <v>1989</v>
      </c>
      <c r="D605" s="5">
        <v>30.9</v>
      </c>
      <c r="E605" s="5">
        <v>44.2</v>
      </c>
      <c r="F605" s="5">
        <f t="shared" si="30"/>
        <v>13.300000000000004</v>
      </c>
      <c r="G605" s="7">
        <v>1.0679143600000001</v>
      </c>
      <c r="H605" s="7">
        <v>17.323404899695166</v>
      </c>
      <c r="I605" s="8">
        <v>24521.405941000001</v>
      </c>
      <c r="J605" s="13">
        <v>4.8270299999999997</v>
      </c>
      <c r="K605" s="7">
        <v>37.384183442903897</v>
      </c>
      <c r="L605" s="5">
        <v>0.62718194723129295</v>
      </c>
      <c r="M605" s="5">
        <f t="shared" si="33"/>
        <v>62.718194723129294</v>
      </c>
      <c r="Q605" s="25">
        <f t="shared" si="32"/>
        <v>1.17062</v>
      </c>
      <c r="R605">
        <v>9.1539999999999996E-2</v>
      </c>
      <c r="S605" s="24">
        <v>1.07908</v>
      </c>
      <c r="T605">
        <f>Q605/100</f>
        <v>1.17062E-2</v>
      </c>
      <c r="U605">
        <f>R605/100</f>
        <v>9.1539999999999992E-4</v>
      </c>
      <c r="V605">
        <f>S605/100</f>
        <v>1.07908E-2</v>
      </c>
    </row>
    <row r="606" spans="1:26" x14ac:dyDescent="0.25">
      <c r="A606" t="s">
        <v>29</v>
      </c>
      <c r="B606">
        <v>17</v>
      </c>
      <c r="C606">
        <v>1990</v>
      </c>
      <c r="D606" s="5">
        <v>30.8</v>
      </c>
      <c r="E606" s="5">
        <v>43.6</v>
      </c>
      <c r="F606" s="5">
        <f t="shared" si="30"/>
        <v>12.8</v>
      </c>
      <c r="G606" s="7">
        <v>1.0672182100000001</v>
      </c>
      <c r="H606" s="7">
        <v>16.316617681483603</v>
      </c>
      <c r="I606" s="8">
        <v>25410.009880000001</v>
      </c>
      <c r="J606" s="13">
        <v>3.781393</v>
      </c>
      <c r="K606" s="7">
        <v>35.610733235031091</v>
      </c>
      <c r="L606" s="5">
        <v>0.62718194723129295</v>
      </c>
      <c r="M606" s="5">
        <f t="shared" si="33"/>
        <v>62.718194723129294</v>
      </c>
      <c r="Q606" s="25">
        <f t="shared" si="32"/>
        <v>-0.30893999999999999</v>
      </c>
      <c r="R606">
        <v>0</v>
      </c>
      <c r="S606" s="24">
        <v>-0.30893999999999999</v>
      </c>
      <c r="T606">
        <f>Q606/100</f>
        <v>-3.0894E-3</v>
      </c>
      <c r="U606">
        <f>R606/100</f>
        <v>0</v>
      </c>
      <c r="V606">
        <f>S606/100</f>
        <v>-3.0894E-3</v>
      </c>
      <c r="W606">
        <v>0.82067999999999997</v>
      </c>
    </row>
    <row r="607" spans="1:26" x14ac:dyDescent="0.25">
      <c r="A607" t="s">
        <v>29</v>
      </c>
      <c r="B607">
        <v>17</v>
      </c>
      <c r="C607">
        <v>1991</v>
      </c>
      <c r="D607" s="5">
        <v>31.3</v>
      </c>
      <c r="E607" s="5">
        <v>44.5</v>
      </c>
      <c r="F607" s="5">
        <f t="shared" si="30"/>
        <v>13.2</v>
      </c>
      <c r="G607" s="7">
        <v>1.05934214</v>
      </c>
      <c r="H607" s="7">
        <v>16.401546890106346</v>
      </c>
      <c r="I607" s="8">
        <v>26010.820190999999</v>
      </c>
      <c r="J607" s="13">
        <v>2.546001</v>
      </c>
      <c r="K607" s="7">
        <v>35.478541249369144</v>
      </c>
      <c r="L607" s="5">
        <v>0.62718194723129295</v>
      </c>
      <c r="M607" s="5">
        <f t="shared" si="33"/>
        <v>62.718194723129294</v>
      </c>
      <c r="Q607" s="25">
        <f t="shared" si="32"/>
        <v>0</v>
      </c>
      <c r="R607">
        <v>0</v>
      </c>
      <c r="S607" s="24">
        <v>0</v>
      </c>
      <c r="T607">
        <f>Q607/100</f>
        <v>0</v>
      </c>
      <c r="U607">
        <f>R607/100</f>
        <v>0</v>
      </c>
      <c r="V607">
        <f>S607/100</f>
        <v>0</v>
      </c>
    </row>
    <row r="608" spans="1:26" x14ac:dyDescent="0.25">
      <c r="A608" t="s">
        <v>29</v>
      </c>
      <c r="B608">
        <v>17</v>
      </c>
      <c r="C608">
        <v>1992</v>
      </c>
      <c r="D608" s="5">
        <v>31</v>
      </c>
      <c r="E608" s="5">
        <v>44.5</v>
      </c>
      <c r="F608" s="5">
        <f t="shared" si="30"/>
        <v>13.5</v>
      </c>
      <c r="G608" s="7">
        <v>1.0592453100000001</v>
      </c>
      <c r="H608" s="7">
        <v>18.463105173153657</v>
      </c>
      <c r="I608" s="8">
        <v>26191.277990999999</v>
      </c>
      <c r="J608" s="13">
        <v>0.92921500000000001</v>
      </c>
      <c r="K608" s="7">
        <v>35.97784214885759</v>
      </c>
      <c r="L608" s="5">
        <v>0.62718194723129295</v>
      </c>
      <c r="M608" s="5">
        <f t="shared" si="33"/>
        <v>62.718194723129294</v>
      </c>
      <c r="Q608" s="25">
        <f t="shared" si="32"/>
        <v>0.58818999999999999</v>
      </c>
      <c r="R608">
        <v>0.36645</v>
      </c>
      <c r="S608" s="24">
        <v>0.22174000000000005</v>
      </c>
      <c r="T608">
        <f>Q608/100</f>
        <v>5.8818999999999998E-3</v>
      </c>
      <c r="U608">
        <f>R608/100</f>
        <v>3.6644999999999998E-3</v>
      </c>
      <c r="V608">
        <f>S608/100</f>
        <v>2.2174000000000004E-3</v>
      </c>
    </row>
    <row r="609" spans="1:26" ht="15.75" x14ac:dyDescent="0.25">
      <c r="A609" t="s">
        <v>29</v>
      </c>
      <c r="B609">
        <v>17</v>
      </c>
      <c r="C609">
        <v>1993</v>
      </c>
      <c r="D609" s="5">
        <v>32.5</v>
      </c>
      <c r="E609" s="5">
        <v>46.5</v>
      </c>
      <c r="F609" s="5">
        <f t="shared" si="30"/>
        <v>14</v>
      </c>
      <c r="G609" s="7">
        <v>1.0456907200000001</v>
      </c>
      <c r="H609" s="7">
        <v>22.776427088081853</v>
      </c>
      <c r="I609" s="8">
        <v>25864.562478</v>
      </c>
      <c r="J609" s="13">
        <v>-1.0314920000000001</v>
      </c>
      <c r="K609" s="7">
        <v>36.949893981369748</v>
      </c>
      <c r="L609" s="5">
        <v>0.62718194723129295</v>
      </c>
      <c r="M609" s="5">
        <f t="shared" si="33"/>
        <v>62.718194723129294</v>
      </c>
      <c r="Q609" s="25">
        <f t="shared" si="32"/>
        <v>1.02054</v>
      </c>
      <c r="R609">
        <v>0.28841</v>
      </c>
      <c r="S609" s="24">
        <v>0.73212999999999995</v>
      </c>
      <c r="T609">
        <f>Q609/100</f>
        <v>1.02054E-2</v>
      </c>
      <c r="U609">
        <f>R609/100</f>
        <v>2.8841000000000001E-3</v>
      </c>
      <c r="V609">
        <f>S609/100</f>
        <v>7.3212999999999993E-3</v>
      </c>
      <c r="W609">
        <v>0.83035000000000003</v>
      </c>
      <c r="Y609" s="2">
        <v>0.31075999999999998</v>
      </c>
      <c r="Z609" s="6">
        <f>Y609*100</f>
        <v>31.075999999999997</v>
      </c>
    </row>
    <row r="610" spans="1:26" ht="15.75" x14ac:dyDescent="0.25">
      <c r="A610" t="s">
        <v>29</v>
      </c>
      <c r="B610">
        <v>17</v>
      </c>
      <c r="C610">
        <v>1994</v>
      </c>
      <c r="D610" s="5">
        <v>33</v>
      </c>
      <c r="E610" s="5">
        <v>47.2</v>
      </c>
      <c r="F610" s="5">
        <f t="shared" si="30"/>
        <v>14.200000000000003</v>
      </c>
      <c r="G610" s="7">
        <v>1.04718413</v>
      </c>
      <c r="H610" s="7">
        <v>24.171428215369467</v>
      </c>
      <c r="I610" s="8">
        <v>26433.569780999998</v>
      </c>
      <c r="J610" s="13">
        <v>2.3831950000000002</v>
      </c>
      <c r="K610" s="7">
        <v>41.644478733350368</v>
      </c>
      <c r="L610" s="5">
        <v>0.62718194723129295</v>
      </c>
      <c r="M610" s="5">
        <f t="shared" si="33"/>
        <v>62.718194723129294</v>
      </c>
      <c r="Q610" s="25">
        <f t="shared" si="32"/>
        <v>1.5525899999999999</v>
      </c>
      <c r="R610">
        <v>1.5525899999999999</v>
      </c>
      <c r="S610" s="24">
        <v>0</v>
      </c>
      <c r="T610">
        <f>Q610/100</f>
        <v>1.5525899999999999E-2</v>
      </c>
      <c r="U610">
        <f>R610/100</f>
        <v>1.5525899999999999E-2</v>
      </c>
      <c r="V610">
        <f>S610/100</f>
        <v>0</v>
      </c>
      <c r="W610">
        <v>0.83511999999999997</v>
      </c>
      <c r="Y610" s="2">
        <v>0.32205</v>
      </c>
      <c r="Z610" s="6">
        <f t="shared" ref="Z610:Z616" si="34">Y610*100</f>
        <v>32.204999999999998</v>
      </c>
    </row>
    <row r="611" spans="1:26" ht="15.75" x14ac:dyDescent="0.25">
      <c r="A611" t="s">
        <v>29</v>
      </c>
      <c r="B611">
        <v>17</v>
      </c>
      <c r="C611">
        <v>1995</v>
      </c>
      <c r="D611" s="5">
        <v>33.200000000000003</v>
      </c>
      <c r="E611" s="5">
        <v>47.5</v>
      </c>
      <c r="F611" s="5">
        <f t="shared" si="30"/>
        <v>14.299999999999997</v>
      </c>
      <c r="G611" s="7">
        <v>1.0467380399999999</v>
      </c>
      <c r="H611" s="7">
        <v>22.964075743244493</v>
      </c>
      <c r="I611" s="8">
        <v>27123.208351000001</v>
      </c>
      <c r="J611" s="13">
        <v>2.7574939999999999</v>
      </c>
      <c r="K611" s="7">
        <v>44.775374087036568</v>
      </c>
      <c r="L611" s="5">
        <v>0.62718194723129295</v>
      </c>
      <c r="M611" s="5">
        <f t="shared" si="33"/>
        <v>62.718194723129294</v>
      </c>
      <c r="N611" s="16">
        <v>2.0113766000000002</v>
      </c>
      <c r="P611" s="16">
        <v>2.0975025999999999</v>
      </c>
      <c r="Q611" s="25">
        <f t="shared" si="32"/>
        <v>0.77596999999999994</v>
      </c>
      <c r="R611">
        <v>0.77596999999999994</v>
      </c>
      <c r="S611" s="24">
        <v>0</v>
      </c>
      <c r="T611">
        <f>Q611/100</f>
        <v>7.7596999999999996E-3</v>
      </c>
      <c r="U611">
        <f>R611/100</f>
        <v>7.7596999999999996E-3</v>
      </c>
      <c r="V611">
        <f>S611/100</f>
        <v>0</v>
      </c>
      <c r="W611">
        <v>0.83421999999999996</v>
      </c>
      <c r="Y611" s="2">
        <v>0.32225999999999999</v>
      </c>
      <c r="Z611" s="6">
        <f t="shared" si="34"/>
        <v>32.225999999999999</v>
      </c>
    </row>
    <row r="612" spans="1:26" ht="15.75" x14ac:dyDescent="0.25">
      <c r="A612" t="s">
        <v>29</v>
      </c>
      <c r="B612">
        <v>17</v>
      </c>
      <c r="C612">
        <v>1996</v>
      </c>
      <c r="D612" s="5">
        <v>33.299999999999997</v>
      </c>
      <c r="E612" s="5">
        <v>47.6</v>
      </c>
      <c r="F612" s="5">
        <f t="shared" si="30"/>
        <v>14.300000000000004</v>
      </c>
      <c r="G612" s="7">
        <v>1.03558843</v>
      </c>
      <c r="H612" s="7">
        <v>22.149490174155051</v>
      </c>
      <c r="I612" s="8">
        <v>27729.398966000001</v>
      </c>
      <c r="J612" s="13">
        <v>2.6605620000000001</v>
      </c>
      <c r="K612" s="7">
        <v>46.245219264804184</v>
      </c>
      <c r="L612" s="5">
        <v>0.62561523914337203</v>
      </c>
      <c r="M612" s="5">
        <f t="shared" si="33"/>
        <v>62.561523914337201</v>
      </c>
      <c r="N612" s="16">
        <v>1.9574011428571401</v>
      </c>
      <c r="P612" s="16">
        <v>2.0984687142857101</v>
      </c>
      <c r="Q612" s="25">
        <f t="shared" si="32"/>
        <v>1.2529499999999998</v>
      </c>
      <c r="R612">
        <v>1.0601799999999999</v>
      </c>
      <c r="S612" s="24">
        <v>0.19277</v>
      </c>
      <c r="T612">
        <f>Q612/100</f>
        <v>1.2529499999999997E-2</v>
      </c>
      <c r="U612">
        <f>R612/100</f>
        <v>1.06018E-2</v>
      </c>
      <c r="V612">
        <f>S612/100</f>
        <v>1.9277000000000001E-3</v>
      </c>
      <c r="W612">
        <v>0.83504</v>
      </c>
      <c r="Y612" s="2">
        <v>0.32919999999999999</v>
      </c>
      <c r="Z612" s="6">
        <f t="shared" si="34"/>
        <v>32.92</v>
      </c>
    </row>
    <row r="613" spans="1:26" ht="15.75" x14ac:dyDescent="0.25">
      <c r="A613" t="s">
        <v>29</v>
      </c>
      <c r="B613">
        <v>17</v>
      </c>
      <c r="C613">
        <v>1997</v>
      </c>
      <c r="D613" s="5">
        <v>33</v>
      </c>
      <c r="E613" s="5">
        <v>47.2</v>
      </c>
      <c r="F613" s="5">
        <f t="shared" si="30"/>
        <v>14.200000000000003</v>
      </c>
      <c r="G613" s="7">
        <v>1.01971078</v>
      </c>
      <c r="H613" s="7">
        <v>20.673766338908347</v>
      </c>
      <c r="I613" s="8">
        <v>28637.085671000001</v>
      </c>
      <c r="J613" s="13">
        <v>3.7024949999999999</v>
      </c>
      <c r="K613" s="7">
        <v>51.166257115786074</v>
      </c>
      <c r="L613" s="5">
        <v>0.638372302055359</v>
      </c>
      <c r="M613" s="5">
        <f t="shared" si="33"/>
        <v>63.837230205535903</v>
      </c>
      <c r="N613" s="16">
        <v>1.9034256857142799</v>
      </c>
      <c r="P613" s="16">
        <v>2.0994348285714199</v>
      </c>
      <c r="Q613" s="25">
        <f t="shared" si="32"/>
        <v>1.4515399999999998</v>
      </c>
      <c r="R613">
        <v>1.3608199999999999</v>
      </c>
      <c r="S613" s="24">
        <v>9.0719999999999995E-2</v>
      </c>
      <c r="T613">
        <f>Q613/100</f>
        <v>1.4515399999999998E-2</v>
      </c>
      <c r="U613">
        <f>R613/100</f>
        <v>1.3608199999999999E-2</v>
      </c>
      <c r="V613">
        <f>S613/100</f>
        <v>9.0719999999999993E-4</v>
      </c>
      <c r="W613">
        <v>0.82708999999999999</v>
      </c>
      <c r="Y613" s="2">
        <v>0.32613999999999999</v>
      </c>
      <c r="Z613" s="6">
        <f t="shared" si="34"/>
        <v>32.613999999999997</v>
      </c>
    </row>
    <row r="614" spans="1:26" ht="15.75" x14ac:dyDescent="0.25">
      <c r="A614" t="s">
        <v>29</v>
      </c>
      <c r="B614">
        <v>17</v>
      </c>
      <c r="C614">
        <v>1998</v>
      </c>
      <c r="D614" s="5">
        <v>32.5</v>
      </c>
      <c r="E614" s="5">
        <v>46.6</v>
      </c>
      <c r="F614" s="5">
        <f t="shared" si="30"/>
        <v>14.100000000000001</v>
      </c>
      <c r="G614" s="7">
        <v>1.0183433</v>
      </c>
      <c r="H614" s="7">
        <v>18.665634940600317</v>
      </c>
      <c r="I614" s="8">
        <v>29773.155679</v>
      </c>
      <c r="J614" s="13">
        <v>4.3931009999999997</v>
      </c>
      <c r="K614" s="7">
        <v>52.661454370828409</v>
      </c>
      <c r="L614" s="5">
        <v>0.64331871271133401</v>
      </c>
      <c r="M614" s="5">
        <f t="shared" si="33"/>
        <v>64.331871271133394</v>
      </c>
      <c r="N614" s="16">
        <v>1.8494502285714201</v>
      </c>
      <c r="P614" s="16">
        <v>2.10040094285714</v>
      </c>
      <c r="Q614" s="25">
        <f t="shared" si="32"/>
        <v>0</v>
      </c>
      <c r="R614">
        <v>0</v>
      </c>
      <c r="S614" s="24">
        <v>0</v>
      </c>
      <c r="T614">
        <f>Q614/100</f>
        <v>0</v>
      </c>
      <c r="U614">
        <f>R614/100</f>
        <v>0</v>
      </c>
      <c r="V614">
        <f>S614/100</f>
        <v>0</v>
      </c>
      <c r="W614">
        <v>0.81784999999999997</v>
      </c>
      <c r="Y614" s="2">
        <v>0.31032999999999999</v>
      </c>
      <c r="Z614" s="6">
        <f t="shared" si="34"/>
        <v>31.033000000000001</v>
      </c>
    </row>
    <row r="615" spans="1:26" ht="15.75" x14ac:dyDescent="0.25">
      <c r="A615" t="s">
        <v>29</v>
      </c>
      <c r="B615">
        <v>17</v>
      </c>
      <c r="C615">
        <v>1999</v>
      </c>
      <c r="D615" s="5">
        <v>31.9</v>
      </c>
      <c r="E615" s="5">
        <v>46.1</v>
      </c>
      <c r="F615" s="5">
        <f t="shared" si="30"/>
        <v>14.200000000000003</v>
      </c>
      <c r="G615" s="7">
        <v>1.02310345</v>
      </c>
      <c r="H615" s="7">
        <v>15.700472002639772</v>
      </c>
      <c r="I615" s="8">
        <v>30990.224102</v>
      </c>
      <c r="J615" s="13">
        <v>4.4905530000000002</v>
      </c>
      <c r="K615" s="7">
        <v>54.636466948565023</v>
      </c>
      <c r="L615" s="5">
        <v>0.647610723972321</v>
      </c>
      <c r="M615" s="5">
        <f t="shared" si="33"/>
        <v>64.761072397232098</v>
      </c>
      <c r="N615" s="16">
        <v>1.7954747714285699</v>
      </c>
      <c r="P615" s="16">
        <v>2.1013670571428502</v>
      </c>
      <c r="Q615" s="25">
        <f t="shared" si="32"/>
        <v>0</v>
      </c>
      <c r="R615">
        <v>0</v>
      </c>
      <c r="S615" s="24">
        <v>0</v>
      </c>
      <c r="T615">
        <f>Q615/100</f>
        <v>0</v>
      </c>
      <c r="U615">
        <f>R615/100</f>
        <v>0</v>
      </c>
      <c r="V615">
        <f>S615/100</f>
        <v>0</v>
      </c>
      <c r="W615">
        <v>0.80674999999999997</v>
      </c>
      <c r="Y615" s="2">
        <v>0.30643999999999999</v>
      </c>
      <c r="Z615" s="6">
        <f t="shared" si="34"/>
        <v>30.643999999999998</v>
      </c>
    </row>
    <row r="616" spans="1:26" ht="15.75" x14ac:dyDescent="0.25">
      <c r="A616" t="s">
        <v>29</v>
      </c>
      <c r="B616">
        <v>17</v>
      </c>
      <c r="C616">
        <v>2000</v>
      </c>
      <c r="D616" s="5">
        <v>31</v>
      </c>
      <c r="E616" s="5">
        <v>45.6</v>
      </c>
      <c r="F616" s="5">
        <f t="shared" si="30"/>
        <v>14.600000000000001</v>
      </c>
      <c r="G616" s="7">
        <v>1.0343351700000001</v>
      </c>
      <c r="H616" s="7">
        <v>13.91445797848125</v>
      </c>
      <c r="I616" s="8">
        <v>32467.392388</v>
      </c>
      <c r="J616" s="13">
        <v>5.2459439999999997</v>
      </c>
      <c r="K616" s="7">
        <v>60.082333746494179</v>
      </c>
      <c r="L616" s="5">
        <v>0.64577174186706499</v>
      </c>
      <c r="M616" s="5">
        <f t="shared" si="33"/>
        <v>64.5771741867065</v>
      </c>
      <c r="N616" s="16">
        <v>1.74149931428571</v>
      </c>
      <c r="P616" s="16">
        <v>2.1023331714285698</v>
      </c>
      <c r="Q616" s="25">
        <f t="shared" si="32"/>
        <v>0</v>
      </c>
      <c r="R616">
        <v>0</v>
      </c>
      <c r="S616" s="24">
        <v>0</v>
      </c>
      <c r="T616">
        <f>Q616/100</f>
        <v>0</v>
      </c>
      <c r="U616">
        <f>R616/100</f>
        <v>0</v>
      </c>
      <c r="V616">
        <f>S616/100</f>
        <v>0</v>
      </c>
      <c r="W616">
        <v>0.79203000000000001</v>
      </c>
      <c r="Y616" s="2">
        <v>0.31058999999999998</v>
      </c>
      <c r="Z616" s="6">
        <f t="shared" si="34"/>
        <v>31.058999999999997</v>
      </c>
    </row>
    <row r="617" spans="1:26" x14ac:dyDescent="0.25">
      <c r="A617" t="s">
        <v>29</v>
      </c>
      <c r="B617">
        <v>17</v>
      </c>
      <c r="C617">
        <v>2001</v>
      </c>
      <c r="D617" s="5">
        <v>29.9</v>
      </c>
      <c r="E617" s="5">
        <v>45.2</v>
      </c>
      <c r="F617" s="5">
        <f t="shared" ref="F617:F630" si="35">E617-D617</f>
        <v>15.300000000000004</v>
      </c>
      <c r="G617" s="7">
        <v>1.03589833</v>
      </c>
      <c r="H617" s="7">
        <v>10.548566452007499</v>
      </c>
      <c r="I617" s="8">
        <v>33569.130545</v>
      </c>
      <c r="J617" s="13">
        <v>3.9330029999999998</v>
      </c>
      <c r="K617" s="7">
        <v>57.99715546374928</v>
      </c>
      <c r="L617" s="5">
        <v>0.63794064521789595</v>
      </c>
      <c r="M617" s="5">
        <f t="shared" si="33"/>
        <v>63.794064521789593</v>
      </c>
      <c r="N617" s="16">
        <v>1.6875238571428499</v>
      </c>
      <c r="P617" s="16">
        <v>2.10329928571428</v>
      </c>
      <c r="Q617" s="25">
        <f t="shared" si="32"/>
        <v>0</v>
      </c>
      <c r="R617">
        <v>0</v>
      </c>
      <c r="S617" s="24">
        <v>0</v>
      </c>
      <c r="T617">
        <f>Q617/100</f>
        <v>0</v>
      </c>
      <c r="U617">
        <f>R617/100</f>
        <v>0</v>
      </c>
      <c r="V617">
        <f>S617/100</f>
        <v>0</v>
      </c>
    </row>
    <row r="618" spans="1:26" x14ac:dyDescent="0.25">
      <c r="A618" t="s">
        <v>29</v>
      </c>
      <c r="B618">
        <v>17</v>
      </c>
      <c r="C618">
        <v>2002</v>
      </c>
      <c r="D618" s="5">
        <v>29.5</v>
      </c>
      <c r="E618" s="5">
        <v>45.1</v>
      </c>
      <c r="F618" s="5">
        <f t="shared" si="35"/>
        <v>15.600000000000001</v>
      </c>
      <c r="G618" s="7">
        <v>1.0306565700000001</v>
      </c>
      <c r="H618" s="7">
        <v>11.44964392832261</v>
      </c>
      <c r="I618" s="8">
        <v>33938.529590999999</v>
      </c>
      <c r="J618" s="13">
        <v>2.7309480000000002</v>
      </c>
      <c r="K618" s="7">
        <v>55.099179243067866</v>
      </c>
      <c r="L618" s="5">
        <v>0.63675624132156405</v>
      </c>
      <c r="M618" s="5">
        <f t="shared" si="33"/>
        <v>63.675624132156408</v>
      </c>
      <c r="N618" s="16">
        <v>1.6335484</v>
      </c>
      <c r="O618" s="20">
        <v>3.4374194</v>
      </c>
      <c r="P618" s="16">
        <v>2.1042654000000001</v>
      </c>
      <c r="Q618" s="25">
        <f t="shared" si="32"/>
        <v>0</v>
      </c>
      <c r="R618">
        <v>0</v>
      </c>
      <c r="S618" s="24">
        <v>0</v>
      </c>
      <c r="T618">
        <f>Q618/100</f>
        <v>0</v>
      </c>
      <c r="U618">
        <f>R618/100</f>
        <v>0</v>
      </c>
      <c r="V618">
        <f>S618/100</f>
        <v>0</v>
      </c>
    </row>
    <row r="619" spans="1:26" x14ac:dyDescent="0.25">
      <c r="A619" t="s">
        <v>29</v>
      </c>
      <c r="B619">
        <v>17</v>
      </c>
      <c r="C619">
        <v>2003</v>
      </c>
      <c r="D619" s="5">
        <v>30.7</v>
      </c>
      <c r="E619" s="5">
        <v>45.7</v>
      </c>
      <c r="F619" s="5">
        <f t="shared" si="35"/>
        <v>15.000000000000004</v>
      </c>
      <c r="G619" s="7">
        <v>1.0303888800000001</v>
      </c>
      <c r="H619" s="7">
        <v>11.48334677288641</v>
      </c>
      <c r="I619" s="8">
        <v>34310.529088000003</v>
      </c>
      <c r="J619" s="13">
        <v>2.9819360000000001</v>
      </c>
      <c r="K619" s="7">
        <v>53.463689100622489</v>
      </c>
      <c r="L619" s="5">
        <v>0.63354235887527499</v>
      </c>
      <c r="M619" s="5">
        <f t="shared" si="33"/>
        <v>63.354235887527501</v>
      </c>
      <c r="N619" s="16">
        <v>1.6144742750000001</v>
      </c>
      <c r="O619" s="20">
        <v>3.3526010749999999</v>
      </c>
      <c r="P619" s="16">
        <v>2.0755729999999999</v>
      </c>
      <c r="Q619" s="25">
        <f t="shared" si="32"/>
        <v>0</v>
      </c>
      <c r="R619">
        <v>0</v>
      </c>
      <c r="S619" s="24">
        <v>0</v>
      </c>
      <c r="T619">
        <f>Q619/100</f>
        <v>0</v>
      </c>
      <c r="U619">
        <f>R619/100</f>
        <v>0</v>
      </c>
      <c r="V619">
        <f>S619/100</f>
        <v>0</v>
      </c>
    </row>
    <row r="620" spans="1:26" x14ac:dyDescent="0.25">
      <c r="A620" t="s">
        <v>29</v>
      </c>
      <c r="B620">
        <v>17</v>
      </c>
      <c r="C620">
        <v>2004</v>
      </c>
      <c r="D620" s="5">
        <v>32</v>
      </c>
      <c r="E620" s="5">
        <v>46.5</v>
      </c>
      <c r="F620" s="5">
        <f t="shared" si="35"/>
        <v>14.5</v>
      </c>
      <c r="G620" s="7">
        <v>1.0303924900000001</v>
      </c>
      <c r="H620" s="7">
        <v>10.961666252776583</v>
      </c>
      <c r="I620" s="8">
        <v>34834.670437000001</v>
      </c>
      <c r="J620" s="13">
        <v>3.1227339999999999</v>
      </c>
      <c r="K620" s="7">
        <v>54.524182691692346</v>
      </c>
      <c r="L620" s="5">
        <v>0.62982279062271096</v>
      </c>
      <c r="M620" s="5">
        <f t="shared" si="33"/>
        <v>62.982279062271097</v>
      </c>
      <c r="N620" s="16">
        <v>1.5954001499999999</v>
      </c>
      <c r="O620" s="20">
        <v>3.2677827499999998</v>
      </c>
      <c r="P620" s="16">
        <v>2.0468806000000002</v>
      </c>
      <c r="Q620" s="25">
        <f t="shared" si="32"/>
        <v>0</v>
      </c>
      <c r="R620">
        <v>0</v>
      </c>
      <c r="S620" s="24">
        <v>0</v>
      </c>
      <c r="T620">
        <f>Q620/100</f>
        <v>0</v>
      </c>
      <c r="U620">
        <f>R620/100</f>
        <v>0</v>
      </c>
      <c r="V620">
        <f>S620/100</f>
        <v>0</v>
      </c>
      <c r="W620">
        <v>0.75595999999999997</v>
      </c>
      <c r="X620">
        <v>0.37</v>
      </c>
      <c r="Y620">
        <v>0.37</v>
      </c>
      <c r="Z620" s="5">
        <f>Y620*100</f>
        <v>37</v>
      </c>
    </row>
    <row r="621" spans="1:26" x14ac:dyDescent="0.25">
      <c r="A621" t="s">
        <v>29</v>
      </c>
      <c r="B621">
        <v>17</v>
      </c>
      <c r="C621">
        <v>2005</v>
      </c>
      <c r="D621" s="5">
        <v>32.200000000000003</v>
      </c>
      <c r="E621" s="5">
        <v>46.5</v>
      </c>
      <c r="F621" s="5">
        <f t="shared" si="35"/>
        <v>14.299999999999997</v>
      </c>
      <c r="G621" s="7">
        <v>1.03368814</v>
      </c>
      <c r="H621" s="7">
        <v>9.146201574515608</v>
      </c>
      <c r="I621" s="8">
        <v>35442.456041999998</v>
      </c>
      <c r="J621" s="13">
        <v>3.6520839999999999</v>
      </c>
      <c r="K621" s="7">
        <v>54.762297583347085</v>
      </c>
      <c r="L621" s="5">
        <v>0.62430113554000899</v>
      </c>
      <c r="M621" s="5">
        <f t="shared" si="33"/>
        <v>62.430113554000897</v>
      </c>
      <c r="N621" s="16">
        <v>1.576326025</v>
      </c>
      <c r="O621" s="20">
        <v>3.1829644250000002</v>
      </c>
      <c r="P621" s="16">
        <v>2.0181882</v>
      </c>
      <c r="Q621" s="25">
        <f t="shared" si="32"/>
        <v>0</v>
      </c>
      <c r="R621">
        <v>0</v>
      </c>
      <c r="S621" s="24">
        <v>0</v>
      </c>
      <c r="T621">
        <f>Q621/100</f>
        <v>0</v>
      </c>
      <c r="U621">
        <f>R621/100</f>
        <v>0</v>
      </c>
      <c r="V621">
        <f>S621/100</f>
        <v>0</v>
      </c>
      <c r="W621">
        <v>0.74856</v>
      </c>
      <c r="X621">
        <v>0.36</v>
      </c>
      <c r="Y621">
        <v>0.36</v>
      </c>
      <c r="Z621" s="5">
        <f t="shared" ref="Z621:Z630" si="36">Y621*100</f>
        <v>36</v>
      </c>
    </row>
    <row r="622" spans="1:26" x14ac:dyDescent="0.25">
      <c r="A622" t="s">
        <v>29</v>
      </c>
      <c r="B622">
        <v>17</v>
      </c>
      <c r="C622">
        <v>2006</v>
      </c>
      <c r="D622" s="5">
        <v>32.1</v>
      </c>
      <c r="E622" s="5">
        <v>46.3</v>
      </c>
      <c r="F622" s="5">
        <f t="shared" si="35"/>
        <v>14.199999999999996</v>
      </c>
      <c r="G622" s="7">
        <v>1.0351557600000001</v>
      </c>
      <c r="H622" s="7">
        <v>8.4522203621891503</v>
      </c>
      <c r="I622" s="8">
        <v>36316.068604</v>
      </c>
      <c r="J622" s="13">
        <v>4.1026860000000003</v>
      </c>
      <c r="K622" s="7">
        <v>56.17713481360758</v>
      </c>
      <c r="L622" s="5">
        <v>0.622456014156342</v>
      </c>
      <c r="M622" s="5">
        <f t="shared" si="33"/>
        <v>62.245601415634198</v>
      </c>
      <c r="N622" s="16">
        <v>1.5572519</v>
      </c>
      <c r="O622" s="20">
        <v>3.0981461000000001</v>
      </c>
      <c r="P622" s="16">
        <v>1.9894958</v>
      </c>
      <c r="Q622" s="25">
        <f t="shared" si="32"/>
        <v>0</v>
      </c>
      <c r="R622">
        <v>0</v>
      </c>
      <c r="S622" s="24">
        <v>0</v>
      </c>
      <c r="T622">
        <f>Q622/100</f>
        <v>0</v>
      </c>
      <c r="U622">
        <f>R622/100</f>
        <v>0</v>
      </c>
      <c r="V622">
        <f>S622/100</f>
        <v>0</v>
      </c>
      <c r="W622">
        <v>0.73760000000000003</v>
      </c>
      <c r="X622">
        <v>0.36599999999999999</v>
      </c>
      <c r="Y622">
        <v>0.36599999999999999</v>
      </c>
      <c r="Z622" s="5">
        <f t="shared" si="36"/>
        <v>36.6</v>
      </c>
    </row>
    <row r="623" spans="1:26" x14ac:dyDescent="0.25">
      <c r="A623" t="s">
        <v>29</v>
      </c>
      <c r="B623">
        <v>17</v>
      </c>
      <c r="C623">
        <v>2007</v>
      </c>
      <c r="D623" s="5">
        <v>32.4</v>
      </c>
      <c r="E623" s="5">
        <v>46.4</v>
      </c>
      <c r="F623" s="5">
        <f t="shared" si="35"/>
        <v>14</v>
      </c>
      <c r="G623" s="7">
        <v>1.0278679799999999</v>
      </c>
      <c r="H623" s="7">
        <v>8.2321858557032019</v>
      </c>
      <c r="I623" s="8">
        <v>36896.981742999997</v>
      </c>
      <c r="J623" s="13">
        <v>3.6047380000000002</v>
      </c>
      <c r="K623" s="7">
        <v>57.747603759603329</v>
      </c>
      <c r="L623" s="5">
        <v>0.60876673460006703</v>
      </c>
      <c r="M623" s="5">
        <f t="shared" si="33"/>
        <v>60.8766734600067</v>
      </c>
      <c r="N623" s="16">
        <v>1.5684612499999999</v>
      </c>
      <c r="O623" s="20">
        <v>3.0983009250000002</v>
      </c>
      <c r="P623" s="16">
        <v>1.975672525</v>
      </c>
      <c r="Q623" s="25">
        <f t="shared" si="32"/>
        <v>0</v>
      </c>
      <c r="R623">
        <v>0</v>
      </c>
      <c r="S623" s="24">
        <v>0</v>
      </c>
      <c r="T623">
        <f>Q623/100</f>
        <v>0</v>
      </c>
      <c r="U623">
        <f>R623/100</f>
        <v>0</v>
      </c>
      <c r="V623">
        <f>S623/100</f>
        <v>0</v>
      </c>
      <c r="W623">
        <v>0.73048000000000002</v>
      </c>
      <c r="X623">
        <v>0.43</v>
      </c>
      <c r="Y623">
        <v>0.43</v>
      </c>
      <c r="Z623" s="5">
        <f t="shared" si="36"/>
        <v>43</v>
      </c>
    </row>
    <row r="624" spans="1:26" x14ac:dyDescent="0.25">
      <c r="A624" t="s">
        <v>29</v>
      </c>
      <c r="B624">
        <v>17</v>
      </c>
      <c r="C624">
        <v>2008</v>
      </c>
      <c r="D624" s="5">
        <v>32.700000000000003</v>
      </c>
      <c r="E624" s="5">
        <v>47.3</v>
      </c>
      <c r="F624" s="5">
        <f t="shared" si="35"/>
        <v>14.599999999999994</v>
      </c>
      <c r="G624" s="7">
        <v>1.0407534300000001</v>
      </c>
      <c r="H624" s="7">
        <v>11.254554953166087</v>
      </c>
      <c r="I624" s="8">
        <v>36619.439504000002</v>
      </c>
      <c r="J624" s="13">
        <v>0.88706700000000005</v>
      </c>
      <c r="K624" s="7">
        <v>55.983330043684731</v>
      </c>
      <c r="L624" s="5">
        <v>0.59929156303405795</v>
      </c>
      <c r="M624" s="5">
        <f t="shared" si="33"/>
        <v>59.929156303405797</v>
      </c>
      <c r="N624" s="16">
        <v>1.5796706</v>
      </c>
      <c r="O624" s="20">
        <v>3.0984557499999998</v>
      </c>
      <c r="P624" s="16">
        <v>1.96184925</v>
      </c>
      <c r="Q624" s="25">
        <f t="shared" si="32"/>
        <v>0</v>
      </c>
      <c r="R624">
        <v>0</v>
      </c>
      <c r="S624" s="24">
        <v>0</v>
      </c>
      <c r="T624">
        <f>Q624/100</f>
        <v>0</v>
      </c>
      <c r="U624">
        <f>R624/100</f>
        <v>0</v>
      </c>
      <c r="V624">
        <f>S624/100</f>
        <v>0</v>
      </c>
      <c r="W624">
        <v>0.73436000000000001</v>
      </c>
      <c r="X624">
        <v>0.432</v>
      </c>
      <c r="Y624">
        <v>0.432</v>
      </c>
      <c r="Z624" s="5">
        <f t="shared" si="36"/>
        <v>43.2</v>
      </c>
    </row>
    <row r="625" spans="1:26" x14ac:dyDescent="0.25">
      <c r="A625" t="s">
        <v>29</v>
      </c>
      <c r="B625">
        <v>17</v>
      </c>
      <c r="C625">
        <v>2009</v>
      </c>
      <c r="D625" s="5">
        <v>33.1</v>
      </c>
      <c r="E625" s="5">
        <v>48.7</v>
      </c>
      <c r="F625" s="5">
        <f t="shared" si="35"/>
        <v>15.600000000000001</v>
      </c>
      <c r="G625" s="7">
        <v>0.99712186899999999</v>
      </c>
      <c r="H625" s="7">
        <v>17.85674365015219</v>
      </c>
      <c r="I625" s="8">
        <v>34949.263293000004</v>
      </c>
      <c r="J625" s="13">
        <v>-3.7631070000000002</v>
      </c>
      <c r="K625" s="7">
        <v>46.994874327027475</v>
      </c>
      <c r="L625" s="5">
        <v>0.59179049730300903</v>
      </c>
      <c r="M625" s="5">
        <f t="shared" si="33"/>
        <v>59.179049730300903</v>
      </c>
      <c r="N625" s="16">
        <v>1.5908799499999999</v>
      </c>
      <c r="O625" s="20">
        <v>3.0986105749999999</v>
      </c>
      <c r="P625" s="16">
        <v>1.948025975</v>
      </c>
      <c r="Q625" s="25">
        <f t="shared" si="32"/>
        <v>0.29236000000000001</v>
      </c>
      <c r="R625">
        <v>0</v>
      </c>
      <c r="S625" s="24">
        <v>0.29236000000000001</v>
      </c>
      <c r="T625">
        <f>Q625/100</f>
        <v>2.9236000000000002E-3</v>
      </c>
      <c r="U625">
        <f>R625/100</f>
        <v>0</v>
      </c>
      <c r="V625">
        <f>S625/100</f>
        <v>2.9236000000000002E-3</v>
      </c>
      <c r="W625">
        <v>0.74965000000000004</v>
      </c>
      <c r="X625">
        <v>0.44800000000000001</v>
      </c>
      <c r="Y625">
        <v>0.44800000000000001</v>
      </c>
      <c r="Z625" s="5">
        <f t="shared" si="36"/>
        <v>44.800000000000004</v>
      </c>
    </row>
    <row r="626" spans="1:26" x14ac:dyDescent="0.25">
      <c r="A626" t="s">
        <v>29</v>
      </c>
      <c r="B626">
        <v>17</v>
      </c>
      <c r="C626">
        <v>2010</v>
      </c>
      <c r="D626" s="5">
        <v>33.5</v>
      </c>
      <c r="E626" s="5">
        <v>49.8</v>
      </c>
      <c r="F626" s="5">
        <f t="shared" si="35"/>
        <v>16.299999999999997</v>
      </c>
      <c r="G626" s="7">
        <v>1.01799865</v>
      </c>
      <c r="H626" s="7">
        <v>19.859787584182019</v>
      </c>
      <c r="I626" s="8">
        <v>34859.649625999999</v>
      </c>
      <c r="J626" s="13">
        <v>0.16292000000000001</v>
      </c>
      <c r="K626" s="7">
        <v>52.928240557317963</v>
      </c>
      <c r="L626" s="5">
        <v>0.59425657987594604</v>
      </c>
      <c r="M626" s="5">
        <f t="shared" si="33"/>
        <v>59.425657987594604</v>
      </c>
      <c r="N626" s="16">
        <v>1.6020893</v>
      </c>
      <c r="O626" s="20">
        <v>3.0987654</v>
      </c>
      <c r="P626" s="16">
        <v>1.9342026999999999</v>
      </c>
      <c r="Q626" s="25">
        <f t="shared" si="32"/>
        <v>1.6545799999999997</v>
      </c>
      <c r="R626">
        <v>1.1694699999999998</v>
      </c>
      <c r="S626" s="24">
        <v>0.48510999999999999</v>
      </c>
      <c r="T626">
        <f>Q626/100</f>
        <v>1.6545799999999996E-2</v>
      </c>
      <c r="U626">
        <f>R626/100</f>
        <v>1.1694699999999997E-2</v>
      </c>
      <c r="V626">
        <f>S626/100</f>
        <v>4.8510999999999997E-3</v>
      </c>
      <c r="W626">
        <v>0.76027</v>
      </c>
      <c r="X626">
        <v>0.44900000000000001</v>
      </c>
      <c r="Y626">
        <v>0.44900000000000001</v>
      </c>
      <c r="Z626" s="5">
        <f t="shared" si="36"/>
        <v>44.9</v>
      </c>
    </row>
    <row r="627" spans="1:26" x14ac:dyDescent="0.25">
      <c r="A627" t="s">
        <v>29</v>
      </c>
      <c r="B627">
        <v>17</v>
      </c>
      <c r="C627">
        <v>2011</v>
      </c>
      <c r="D627" s="5">
        <v>33.700000000000003</v>
      </c>
      <c r="E627" s="5">
        <v>50.6</v>
      </c>
      <c r="F627" s="5">
        <f t="shared" si="35"/>
        <v>16.899999999999999</v>
      </c>
      <c r="G627" s="7">
        <v>1.03196102</v>
      </c>
      <c r="H627" s="7">
        <v>21.390808482455668</v>
      </c>
      <c r="I627" s="8">
        <v>34447.198918000002</v>
      </c>
      <c r="J627" s="13">
        <v>-0.81438500000000003</v>
      </c>
      <c r="K627" s="7">
        <v>58.793171035277595</v>
      </c>
      <c r="L627" s="5">
        <v>0.58567929267883301</v>
      </c>
      <c r="M627" s="5">
        <f t="shared" si="33"/>
        <v>58.567929267883301</v>
      </c>
      <c r="N627" s="16">
        <v>1.6044446750000001</v>
      </c>
      <c r="O627" s="20">
        <v>3.105099225</v>
      </c>
      <c r="P627" s="16">
        <v>1.9353060500000001</v>
      </c>
      <c r="Q627" s="25">
        <f t="shared" si="32"/>
        <v>1.5422800000000001</v>
      </c>
      <c r="R627">
        <v>1.5422800000000001</v>
      </c>
      <c r="S627" s="24">
        <v>0</v>
      </c>
      <c r="T627">
        <f>Q627/100</f>
        <v>1.54228E-2</v>
      </c>
      <c r="U627">
        <f>R627/100</f>
        <v>1.54228E-2</v>
      </c>
      <c r="V627">
        <f>S627/100</f>
        <v>0</v>
      </c>
      <c r="W627">
        <v>0.76439999999999997</v>
      </c>
      <c r="X627">
        <v>0.44500000000000001</v>
      </c>
      <c r="Y627">
        <v>0.44500000000000001</v>
      </c>
      <c r="Z627" s="5">
        <f t="shared" si="36"/>
        <v>44.5</v>
      </c>
    </row>
    <row r="628" spans="1:26" x14ac:dyDescent="0.25">
      <c r="A628" t="s">
        <v>29</v>
      </c>
      <c r="B628">
        <v>17</v>
      </c>
      <c r="C628">
        <v>2012</v>
      </c>
      <c r="D628" s="5">
        <v>33.799999999999997</v>
      </c>
      <c r="E628" s="5">
        <v>51.4</v>
      </c>
      <c r="F628" s="5">
        <f t="shared" si="35"/>
        <v>17.600000000000001</v>
      </c>
      <c r="G628" s="7">
        <v>1.0244612799999999</v>
      </c>
      <c r="H628" s="7">
        <v>24.787731170939058</v>
      </c>
      <c r="I628" s="8">
        <v>33406.385211000001</v>
      </c>
      <c r="J628" s="13">
        <v>-2.9589219999999998</v>
      </c>
      <c r="K628" s="7">
        <v>60.845074793619268</v>
      </c>
      <c r="L628" s="5">
        <v>0.56649261713027999</v>
      </c>
      <c r="M628" s="5">
        <f t="shared" si="33"/>
        <v>56.649261713027997</v>
      </c>
      <c r="N628" s="16">
        <v>1.6068000499999999</v>
      </c>
      <c r="O628" s="20">
        <v>3.11143305</v>
      </c>
      <c r="P628" s="16">
        <v>1.9364094000000001</v>
      </c>
      <c r="Q628" s="25">
        <f t="shared" si="32"/>
        <v>3.1667399999999999</v>
      </c>
      <c r="R628">
        <v>1.50054</v>
      </c>
      <c r="S628" s="24">
        <v>1.6661999999999999</v>
      </c>
      <c r="T628">
        <f>Q628/100</f>
        <v>3.1667399999999998E-2</v>
      </c>
      <c r="U628">
        <f>R628/100</f>
        <v>1.50054E-2</v>
      </c>
      <c r="V628">
        <f>S628/100</f>
        <v>1.6662E-2</v>
      </c>
      <c r="W628">
        <v>0.77115</v>
      </c>
      <c r="X628">
        <v>0.45400000000000001</v>
      </c>
      <c r="Y628">
        <v>0.45400000000000001</v>
      </c>
      <c r="Z628" s="5">
        <f t="shared" si="36"/>
        <v>45.4</v>
      </c>
    </row>
    <row r="629" spans="1:26" x14ac:dyDescent="0.25">
      <c r="A629" t="s">
        <v>29</v>
      </c>
      <c r="B629">
        <v>17</v>
      </c>
      <c r="C629">
        <v>2013</v>
      </c>
      <c r="D629" s="5">
        <v>34.200000000000003</v>
      </c>
      <c r="E629" s="5">
        <v>52.1</v>
      </c>
      <c r="F629" s="5">
        <f t="shared" si="35"/>
        <v>17.899999999999999</v>
      </c>
      <c r="G629" s="7">
        <v>1.0140858100000001</v>
      </c>
      <c r="H629" s="7">
        <v>26.093716378244558</v>
      </c>
      <c r="I629" s="8">
        <v>33059.994224000002</v>
      </c>
      <c r="J629" s="13">
        <v>-1.4033420000000001</v>
      </c>
      <c r="K629" s="7">
        <v>61.976315719860445</v>
      </c>
      <c r="L629" s="5">
        <v>0.55826985836029097</v>
      </c>
      <c r="M629" s="5">
        <f t="shared" si="33"/>
        <v>55.826985836029095</v>
      </c>
      <c r="N629" s="16">
        <v>1.609155425</v>
      </c>
      <c r="O629" s="20">
        <v>3.117766875</v>
      </c>
      <c r="P629" s="16">
        <v>1.93751275</v>
      </c>
      <c r="Q629" s="25">
        <f t="shared" si="32"/>
        <v>3.0007100000000002</v>
      </c>
      <c r="R629">
        <v>0.11512</v>
      </c>
      <c r="S629" s="24">
        <v>2.8855900000000001</v>
      </c>
      <c r="T629">
        <f>Q629/100</f>
        <v>3.0007100000000002E-2</v>
      </c>
      <c r="U629">
        <f>R629/100</f>
        <v>1.1512E-3</v>
      </c>
      <c r="V629">
        <f>S629/100</f>
        <v>2.88559E-2</v>
      </c>
      <c r="W629">
        <v>0.78305999999999998</v>
      </c>
      <c r="X629">
        <v>0.46600000000000003</v>
      </c>
      <c r="Y629">
        <v>0.46600000000000003</v>
      </c>
      <c r="Z629" s="5">
        <f t="shared" si="36"/>
        <v>46.6</v>
      </c>
    </row>
    <row r="630" spans="1:26" x14ac:dyDescent="0.25">
      <c r="A630" t="s">
        <v>29</v>
      </c>
      <c r="B630">
        <v>17</v>
      </c>
      <c r="C630">
        <v>2014</v>
      </c>
      <c r="D630" s="5">
        <v>34.200000000000003</v>
      </c>
      <c r="E630" s="5">
        <v>52.4</v>
      </c>
      <c r="F630" s="5">
        <f t="shared" si="35"/>
        <v>18.199999999999996</v>
      </c>
      <c r="G630" s="7">
        <v>0.99848885200000004</v>
      </c>
      <c r="H630" s="7">
        <v>24.441714370354877</v>
      </c>
      <c r="I630" s="8">
        <v>33621.098098000002</v>
      </c>
      <c r="J630" s="13">
        <v>1.395775</v>
      </c>
      <c r="K630" s="7">
        <v>63.838261954197527</v>
      </c>
      <c r="L630" s="5">
        <v>0.55779033899307295</v>
      </c>
      <c r="M630" s="5">
        <f t="shared" si="33"/>
        <v>55.779033899307294</v>
      </c>
      <c r="N630" s="16">
        <v>1.6115108</v>
      </c>
      <c r="O630" s="20">
        <v>3.1241007000000001</v>
      </c>
      <c r="P630" s="16">
        <v>1.9386161</v>
      </c>
      <c r="Q630" s="25">
        <f t="shared" si="32"/>
        <v>1.6661199999999998</v>
      </c>
      <c r="R630">
        <v>0.17405999999999999</v>
      </c>
      <c r="S630" s="24">
        <v>1.4920599999999999</v>
      </c>
      <c r="T630">
        <f>Q630/100</f>
        <v>1.6661199999999998E-2</v>
      </c>
      <c r="U630">
        <f>R630/100</f>
        <v>1.7405999999999999E-3</v>
      </c>
      <c r="V630">
        <f>S630/100</f>
        <v>1.4920599999999999E-2</v>
      </c>
      <c r="W630">
        <v>0.78015999999999996</v>
      </c>
      <c r="X630">
        <v>0.47299999999999998</v>
      </c>
      <c r="Y630">
        <v>0.47299999999999998</v>
      </c>
      <c r="Z630" s="5">
        <f t="shared" si="36"/>
        <v>47.3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Sanches</dc:creator>
  <cp:lastModifiedBy>Marina Sanches</cp:lastModifiedBy>
  <dcterms:created xsi:type="dcterms:W3CDTF">2022-05-04T12:59:39Z</dcterms:created>
  <dcterms:modified xsi:type="dcterms:W3CDTF">2025-01-11T19:24:12Z</dcterms:modified>
</cp:coreProperties>
</file>